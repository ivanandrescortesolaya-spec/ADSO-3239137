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905" firstSheet="1" activeTab="7"/>
  </bookViews>
  <sheets>
    <sheet name="producto" sheetId="1" r:id="rId1"/>
    <sheet name="pedido" sheetId="2" r:id="rId2"/>
    <sheet name="barrio" sheetId="3" r:id="rId3"/>
    <sheet name="municipio" sheetId="4" r:id="rId4"/>
    <sheet name="departamento" sheetId="5" r:id="rId5"/>
    <sheet name="pais" sheetId="6" r:id="rId6"/>
    <sheet name="continente" sheetId="7" r:id="rId7"/>
    <sheet name="estado del pedido" sheetId="8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6" i="8"/>
  <c r="E28" i="5"/>
  <c r="F4" i="8"/>
  <c r="F5" i="8"/>
  <c r="F7" i="8"/>
  <c r="F8" i="8"/>
  <c r="F9" i="8"/>
  <c r="F10" i="8"/>
  <c r="F11" i="8"/>
  <c r="F12" i="8"/>
  <c r="C3" i="8"/>
  <c r="C4" i="8"/>
  <c r="B3" i="8"/>
  <c r="B4" i="8"/>
  <c r="B5" i="8"/>
  <c r="B6" i="8"/>
  <c r="B7" i="8"/>
  <c r="B8" i="8"/>
  <c r="B9" i="8"/>
  <c r="B10" i="8"/>
  <c r="B11" i="8"/>
  <c r="B12" i="8"/>
  <c r="C12" i="8"/>
  <c r="C11" i="8"/>
  <c r="C10" i="8"/>
  <c r="C9" i="8"/>
  <c r="C8" i="8"/>
  <c r="C7" i="8"/>
  <c r="C6" i="8"/>
  <c r="C5" i="8"/>
  <c r="E34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" i="6"/>
  <c r="E3" i="6"/>
  <c r="E4" i="6"/>
  <c r="E5" i="6"/>
  <c r="E6" i="6"/>
  <c r="E7" i="6"/>
  <c r="E8" i="6"/>
  <c r="E9" i="6"/>
  <c r="E10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D6" i="8" l="1"/>
  <c r="D8" i="8"/>
  <c r="D10" i="8"/>
  <c r="D12" i="8"/>
  <c r="D5" i="8"/>
  <c r="D7" i="8"/>
  <c r="D9" i="8"/>
  <c r="D11" i="8"/>
  <c r="D4" i="8"/>
  <c r="G5" i="8"/>
  <c r="G3" i="8"/>
  <c r="G11" i="8"/>
  <c r="H11" i="8" s="1"/>
  <c r="I11" i="8" s="1"/>
  <c r="G9" i="8"/>
  <c r="H9" i="8" s="1"/>
  <c r="I9" i="8" s="1"/>
  <c r="G7" i="8"/>
  <c r="H7" i="8" s="1"/>
  <c r="I7" i="8" s="1"/>
  <c r="H3" i="8"/>
  <c r="I3" i="8" s="1"/>
  <c r="G12" i="8"/>
  <c r="H12" i="8" s="1"/>
  <c r="I12" i="8" s="1"/>
  <c r="G10" i="8"/>
  <c r="H10" i="8" s="1"/>
  <c r="I10" i="8" s="1"/>
  <c r="G8" i="8"/>
  <c r="H8" i="8" s="1"/>
  <c r="I8" i="8" s="1"/>
  <c r="G6" i="8"/>
  <c r="H6" i="8" s="1"/>
  <c r="I6" i="8" s="1"/>
  <c r="G4" i="8"/>
  <c r="H4" i="8" s="1"/>
  <c r="I4" i="8" s="1"/>
  <c r="H5" i="8"/>
  <c r="I5" i="8" s="1"/>
  <c r="D3" i="8"/>
  <c r="E3" i="8" s="1"/>
  <c r="E4" i="8"/>
  <c r="E7" i="8"/>
  <c r="E8" i="8"/>
  <c r="E9" i="8"/>
  <c r="E10" i="8"/>
  <c r="E12" i="8"/>
  <c r="E5" i="8"/>
  <c r="E6" i="8"/>
  <c r="E11" i="8"/>
</calcChain>
</file>

<file path=xl/sharedStrings.xml><?xml version="1.0" encoding="utf-8"?>
<sst xmlns="http://schemas.openxmlformats.org/spreadsheetml/2006/main" count="600" uniqueCount="407">
  <si>
    <t>codigo</t>
  </si>
  <si>
    <t>nombre</t>
  </si>
  <si>
    <t>precio</t>
  </si>
  <si>
    <t>direccion</t>
  </si>
  <si>
    <t>ciudad_origen</t>
  </si>
  <si>
    <t>descripcion</t>
  </si>
  <si>
    <t>continente_id</t>
  </si>
  <si>
    <t>pais_id</t>
  </si>
  <si>
    <t>departamento_id</t>
  </si>
  <si>
    <t>municipio_id</t>
  </si>
  <si>
    <t>C001</t>
  </si>
  <si>
    <t>América</t>
  </si>
  <si>
    <t>Continente que se extiende desde el Ártico hasta la Antártida. Se divide en América del Norte, Centroamérica y América del Sur. Es el segundo continente más grande del mundo.</t>
  </si>
  <si>
    <t>C002</t>
  </si>
  <si>
    <t>Europa</t>
  </si>
  <si>
    <t>Continente ubicado al oeste de Asia. Es conocido por su gran influencia histórica, cultural y económica en el desarrollo mundial.</t>
  </si>
  <si>
    <t>C003</t>
  </si>
  <si>
    <t>Asia</t>
  </si>
  <si>
    <t>El continente más grande y poblado del planeta. Alberga una gran diversidad cultural, económica y geográfica.</t>
  </si>
  <si>
    <t>P001</t>
  </si>
  <si>
    <t>Colombia</t>
  </si>
  <si>
    <t>País ubicado en América del Sur, reconocido por su diversidad cultural, café y biodiversidad.</t>
  </si>
  <si>
    <t>P002</t>
  </si>
  <si>
    <t>Estados Unidos</t>
  </si>
  <si>
    <t>Nación de América del Norte con una de las economías más grandes del mundo.</t>
  </si>
  <si>
    <t>P003</t>
  </si>
  <si>
    <t>Brasil</t>
  </si>
  <si>
    <t>El país más grande de América del Sur, famoso por el Amazonas y el carnaval.</t>
  </si>
  <si>
    <t>P004</t>
  </si>
  <si>
    <t>España</t>
  </si>
  <si>
    <t>País del suroeste de Europa conocido por su cultura, gastronomía y turismo.</t>
  </si>
  <si>
    <t>P005</t>
  </si>
  <si>
    <t>Francia</t>
  </si>
  <si>
    <t>Nación europea destacada por su historia, arte y la ciudad de París.</t>
  </si>
  <si>
    <t>P006</t>
  </si>
  <si>
    <t>Alemania</t>
  </si>
  <si>
    <t>País europeo con fuerte economía industrial y tecnológica.</t>
  </si>
  <si>
    <t>P007</t>
  </si>
  <si>
    <t>China</t>
  </si>
  <si>
    <t>El país más poblado del mundo y una potencia económica global.</t>
  </si>
  <si>
    <t>P008</t>
  </si>
  <si>
    <t>Japón</t>
  </si>
  <si>
    <t>Nación asiática reconocida por su tecnología y cultura tradicional.</t>
  </si>
  <si>
    <t>P009</t>
  </si>
  <si>
    <t>India</t>
  </si>
  <si>
    <t>País del sur de Asia con gran diversidad cultural y alta población.</t>
  </si>
  <si>
    <t>D001</t>
  </si>
  <si>
    <t>Cundinamarca</t>
  </si>
  <si>
    <t>Departamento central donde se ubica Bogotá, capital del país.</t>
  </si>
  <si>
    <t>D002</t>
  </si>
  <si>
    <t>Antioquia</t>
  </si>
  <si>
    <t>Región reconocida por Medellín y su desarrollo industrial.</t>
  </si>
  <si>
    <t>D003</t>
  </si>
  <si>
    <t>Valle del Cauca</t>
  </si>
  <si>
    <t>Departamento destacado por Cali y su cultura salsera.</t>
  </si>
  <si>
    <t>D004</t>
  </si>
  <si>
    <t>California</t>
  </si>
  <si>
    <t>Estado con gran economía, sede de Silicon Valley.</t>
  </si>
  <si>
    <t>D005</t>
  </si>
  <si>
    <t>Texas</t>
  </si>
  <si>
    <t>Uno de los estados más grandes y fuertes en energía.</t>
  </si>
  <si>
    <t>D006</t>
  </si>
  <si>
    <t>Florida</t>
  </si>
  <si>
    <t>Estado turístico conocido por Miami y Orlando.</t>
  </si>
  <si>
    <t>D007</t>
  </si>
  <si>
    <t>São Paulo</t>
  </si>
  <si>
    <t>Estado más poblado y centro financiero del país.</t>
  </si>
  <si>
    <t>D008</t>
  </si>
  <si>
    <t>Río de Janeiro</t>
  </si>
  <si>
    <t>Región famosa por el Cristo Redentor y sus playas.</t>
  </si>
  <si>
    <t>D009</t>
  </si>
  <si>
    <t>Bahía</t>
  </si>
  <si>
    <t>Estado con fuerte herencia cultural afrobrasileña.</t>
  </si>
  <si>
    <t>D010</t>
  </si>
  <si>
    <t>Madrid</t>
  </si>
  <si>
    <t>Comunidad autónoma donde se encuentra la capital del país.</t>
  </si>
  <si>
    <t>D011</t>
  </si>
  <si>
    <t>Cataluña</t>
  </si>
  <si>
    <t>Región industrial y cultural con capital en Barcelona.</t>
  </si>
  <si>
    <t>D012</t>
  </si>
  <si>
    <t>Andalucía</t>
  </si>
  <si>
    <t>Comunidad autónoma famosa por Sevilla y el flamenco.</t>
  </si>
  <si>
    <t>D013</t>
  </si>
  <si>
    <t>Île-de-France</t>
  </si>
  <si>
    <t>Región donde se encuentra París.</t>
  </si>
  <si>
    <t>D014</t>
  </si>
  <si>
    <t>Provenza</t>
  </si>
  <si>
    <t>Región conocida por sus paisajes y producción de vino.</t>
  </si>
  <si>
    <t>D015</t>
  </si>
  <si>
    <t>Normandía</t>
  </si>
  <si>
    <t>Zona histórica por el desembarco de la Segunda Guerra Mundial.</t>
  </si>
  <si>
    <t>D016</t>
  </si>
  <si>
    <t>Baviera</t>
  </si>
  <si>
    <t>Estado federal famoso por Múnich y el Oktoberfest.</t>
  </si>
  <si>
    <t>D017</t>
  </si>
  <si>
    <t>D018</t>
  </si>
  <si>
    <t>Sajonia</t>
  </si>
  <si>
    <t>Estado federal con importante tradición industrial.</t>
  </si>
  <si>
    <t>D019</t>
  </si>
  <si>
    <t>Guangdong</t>
  </si>
  <si>
    <t>Provincia industrial y comercial al sur del país.</t>
  </si>
  <si>
    <t>D020</t>
  </si>
  <si>
    <t>Beijing</t>
  </si>
  <si>
    <t>Municipalidad donde se ubica la capital.</t>
  </si>
  <si>
    <t>D021</t>
  </si>
  <si>
    <t>Shanghái</t>
  </si>
  <si>
    <t>Centro financiero internacional de China.</t>
  </si>
  <si>
    <t>D022</t>
  </si>
  <si>
    <t>Tokio</t>
  </si>
  <si>
    <t>Prefectura donde se ubica la capital japonesa.</t>
  </si>
  <si>
    <t>D023</t>
  </si>
  <si>
    <t>Osaka</t>
  </si>
  <si>
    <t>Región importante en economía y gastronomía.</t>
  </si>
  <si>
    <t>D024</t>
  </si>
  <si>
    <t>Hokkaido</t>
  </si>
  <si>
    <t>Prefectura al norte conocida por su clima frío.</t>
  </si>
  <si>
    <t>D025</t>
  </si>
  <si>
    <t>Maharashtra</t>
  </si>
  <si>
    <t>Estado donde se encuentra Mumbai.</t>
  </si>
  <si>
    <t>D026</t>
  </si>
  <si>
    <t>Delhi</t>
  </si>
  <si>
    <t>Territorio que alberga la capital del país.</t>
  </si>
  <si>
    <t>D027</t>
  </si>
  <si>
    <t>Karnataka</t>
  </si>
  <si>
    <t>Estado tecnológico con capital en Bangalore.</t>
  </si>
  <si>
    <t>M001</t>
  </si>
  <si>
    <t>Soacha</t>
  </si>
  <si>
    <t>Municipio cercano a Bogotá, con gran crecimiento urbano.</t>
  </si>
  <si>
    <t>M002</t>
  </si>
  <si>
    <t>Envigado</t>
  </si>
  <si>
    <t>Municipio del área metropolitana de Medellín.</t>
  </si>
  <si>
    <t>M003</t>
  </si>
  <si>
    <t>Palmira</t>
  </si>
  <si>
    <t>Municipio industrial cercano a Cali.</t>
  </si>
  <si>
    <t>M004</t>
  </si>
  <si>
    <t>Los Ángeles</t>
  </si>
  <si>
    <t>Ciudad importante del estado de California.</t>
  </si>
  <si>
    <t>M005</t>
  </si>
  <si>
    <t>Houston</t>
  </si>
  <si>
    <t>Ciudad principal del estado de Texas.</t>
  </si>
  <si>
    <t>M006</t>
  </si>
  <si>
    <t>Miami</t>
  </si>
  <si>
    <t>Ciudad turística destacada en Florida.</t>
  </si>
  <si>
    <t>M007</t>
  </si>
  <si>
    <t>Campinas</t>
  </si>
  <si>
    <t>Ciudad industrial del estado de São Paulo.</t>
  </si>
  <si>
    <t>M008</t>
  </si>
  <si>
    <t>Niterói</t>
  </si>
  <si>
    <t>Municipio cercano a Río de Janeiro.</t>
  </si>
  <si>
    <t>M009</t>
  </si>
  <si>
    <t>Salvador</t>
  </si>
  <si>
    <t>Capital del estado de Bahía.</t>
  </si>
  <si>
    <t>M010</t>
  </si>
  <si>
    <t>Alcalá de Henares</t>
  </si>
  <si>
    <t>Municipio histórico de la Comunidad de Madrid.</t>
  </si>
  <si>
    <t>M011</t>
  </si>
  <si>
    <t>Girona</t>
  </si>
  <si>
    <t>Ciudad importante de Cataluña.</t>
  </si>
  <si>
    <t>M012</t>
  </si>
  <si>
    <t>Málaga</t>
  </si>
  <si>
    <t>Municipio costero de Andalucía.</t>
  </si>
  <si>
    <t>M013</t>
  </si>
  <si>
    <t>Versalles</t>
  </si>
  <si>
    <t>Ciudad histórica de Île-de-France.</t>
  </si>
  <si>
    <t>M014</t>
  </si>
  <si>
    <t>Marsella</t>
  </si>
  <si>
    <t>Ciudad portuaria en la región de Provenza.</t>
  </si>
  <si>
    <t>M015</t>
  </si>
  <si>
    <t>Caen</t>
  </si>
  <si>
    <t>Municipio histórico de Normandía.</t>
  </si>
  <si>
    <t>M016</t>
  </si>
  <si>
    <t>Núremberg</t>
  </si>
  <si>
    <t>Ciudad importante del estado de Baviera.</t>
  </si>
  <si>
    <t>M017</t>
  </si>
  <si>
    <t>Distrito central de Berlín.</t>
  </si>
  <si>
    <t>M018</t>
  </si>
  <si>
    <t>Leipzig</t>
  </si>
  <si>
    <t>Ciudad destacada del estado de Sajonia.</t>
  </si>
  <si>
    <t>M019</t>
  </si>
  <si>
    <t>Shenzhen</t>
  </si>
  <si>
    <t>Ciudad tecnológica de Guangdong.</t>
  </si>
  <si>
    <t>M020</t>
  </si>
  <si>
    <t>Distrito Dongcheng</t>
  </si>
  <si>
    <t>Distrito urbano de Beijing.</t>
  </si>
  <si>
    <t>M021</t>
  </si>
  <si>
    <t>Pudong</t>
  </si>
  <si>
    <t>Distrito financiero de Shanghái.</t>
  </si>
  <si>
    <t>M022</t>
  </si>
  <si>
    <t>Shinjuku</t>
  </si>
  <si>
    <t>Distrito especial de Tokio.</t>
  </si>
  <si>
    <t>M023</t>
  </si>
  <si>
    <t>Sakai</t>
  </si>
  <si>
    <t>Ciudad cercana a Osaka.</t>
  </si>
  <si>
    <t>M024</t>
  </si>
  <si>
    <t>Sapporo</t>
  </si>
  <si>
    <t>Capital de Hokkaido.</t>
  </si>
  <si>
    <t>M025</t>
  </si>
  <si>
    <t>Pune</t>
  </si>
  <si>
    <t>Ciudad importante de Maharashtra.</t>
  </si>
  <si>
    <t>M026</t>
  </si>
  <si>
    <t>Nueva Delhi</t>
  </si>
  <si>
    <t>Capital nacional ubicada en Delhi.</t>
  </si>
  <si>
    <t>M027</t>
  </si>
  <si>
    <t>Mysore</t>
  </si>
  <si>
    <t>Ciudad cultural del estado de Karnataka.</t>
  </si>
  <si>
    <t>B001</t>
  </si>
  <si>
    <t>Ciudad Verde</t>
  </si>
  <si>
    <t>Barrio residencial moderno de Soacha.</t>
  </si>
  <si>
    <t>B002</t>
  </si>
  <si>
    <t>San Mateo</t>
  </si>
  <si>
    <t>Sector comercial y residencial de Soacha.</t>
  </si>
  <si>
    <t>B003</t>
  </si>
  <si>
    <t>La Magnolia</t>
  </si>
  <si>
    <t>Barrio tradicional de Envigado.</t>
  </si>
  <si>
    <t>B004</t>
  </si>
  <si>
    <t>El Dorado</t>
  </si>
  <si>
    <t>Sector residencial de Envigado.</t>
  </si>
  <si>
    <t>B005</t>
  </si>
  <si>
    <t>Zamorano</t>
  </si>
  <si>
    <t>Barrio urbano de Palmira.</t>
  </si>
  <si>
    <t>B006</t>
  </si>
  <si>
    <t>Santa Ana</t>
  </si>
  <si>
    <t>Sector residencial de Palmira.</t>
  </si>
  <si>
    <t>B007</t>
  </si>
  <si>
    <t>Hollywood</t>
  </si>
  <si>
    <t>Barrio icónico de Los Ángeles.</t>
  </si>
  <si>
    <t>B008</t>
  </si>
  <si>
    <t>Venice</t>
  </si>
  <si>
    <t>Sector turístico de Los Ángeles.</t>
  </si>
  <si>
    <t>B009</t>
  </si>
  <si>
    <t>Downtown</t>
  </si>
  <si>
    <t>Centro financiero de Houston.</t>
  </si>
  <si>
    <t>B010</t>
  </si>
  <si>
    <t>Midtown</t>
  </si>
  <si>
    <t>Barrio comercial de Houston.</t>
  </si>
  <si>
    <t>B011</t>
  </si>
  <si>
    <t>South Beach</t>
  </si>
  <si>
    <t>Zona turística de Miami.</t>
  </si>
  <si>
    <t>B012</t>
  </si>
  <si>
    <t>Little Havana</t>
  </si>
  <si>
    <t>Barrio cultural de Miami.</t>
  </si>
  <si>
    <t>B013</t>
  </si>
  <si>
    <t>Cambuí</t>
  </si>
  <si>
    <t>Barrio residencial de Campinas.</t>
  </si>
  <si>
    <t>B014</t>
  </si>
  <si>
    <t>Barão Geraldo</t>
  </si>
  <si>
    <t>Sector universitario de Campinas.</t>
  </si>
  <si>
    <t>B015</t>
  </si>
  <si>
    <t>Icaraí</t>
  </si>
  <si>
    <t>Barrio costero de Niterói.</t>
  </si>
  <si>
    <t>B016</t>
  </si>
  <si>
    <t>Centro</t>
  </si>
  <si>
    <t>Zona comercial de Niterói.</t>
  </si>
  <si>
    <t>B017</t>
  </si>
  <si>
    <t>Pelourinho</t>
  </si>
  <si>
    <t>Barrio histórico de Salvador.</t>
  </si>
  <si>
    <t>B018</t>
  </si>
  <si>
    <t>Barra</t>
  </si>
  <si>
    <t>Sector turístico de Salvador.</t>
  </si>
  <si>
    <t>B019</t>
  </si>
  <si>
    <t>La Garena</t>
  </si>
  <si>
    <t>Barrio residencial de Alcalá de Henares.</t>
  </si>
  <si>
    <t>B020</t>
  </si>
  <si>
    <t>El Val</t>
  </si>
  <si>
    <t>Sector urbano de Alcalá de Henares.</t>
  </si>
  <si>
    <t>B021</t>
  </si>
  <si>
    <t>Barri Vell</t>
  </si>
  <si>
    <t>Centro histórico de Girona.</t>
  </si>
  <si>
    <t>B022</t>
  </si>
  <si>
    <t>Montilivi</t>
  </si>
  <si>
    <t>Barrio residencial de Girona.</t>
  </si>
  <si>
    <t>B023</t>
  </si>
  <si>
    <t>La Malagueta</t>
  </si>
  <si>
    <t>Barrio costero de Málaga.</t>
  </si>
  <si>
    <t>B024</t>
  </si>
  <si>
    <t>El Palo</t>
  </si>
  <si>
    <t>Sector tradicional de Málaga.</t>
  </si>
  <si>
    <t>B025</t>
  </si>
  <si>
    <t>Notre-Dame</t>
  </si>
  <si>
    <t>Barrio histórico de Versalles.</t>
  </si>
  <si>
    <t>B026</t>
  </si>
  <si>
    <t>Saint-Louis</t>
  </si>
  <si>
    <t>Sector residencial de Versalles.</t>
  </si>
  <si>
    <t>B027</t>
  </si>
  <si>
    <t>Le Panier</t>
  </si>
  <si>
    <t>Barrio antiguo de Marsella.</t>
  </si>
  <si>
    <t>B028</t>
  </si>
  <si>
    <t>La Joliette</t>
  </si>
  <si>
    <t>Zona portuaria moderna de Marsella.</t>
  </si>
  <si>
    <t>B029</t>
  </si>
  <si>
    <t>Vaucelles</t>
  </si>
  <si>
    <t>Barrio residencial de Caen.</t>
  </si>
  <si>
    <t>B030</t>
  </si>
  <si>
    <t>Centre Ville</t>
  </si>
  <si>
    <t>Centro urbano de Caen.</t>
  </si>
  <si>
    <t>B031</t>
  </si>
  <si>
    <t>Altstadt</t>
  </si>
  <si>
    <t>Barrio histórico de Núremberg.</t>
  </si>
  <si>
    <t>B032</t>
  </si>
  <si>
    <t>Südstadt</t>
  </si>
  <si>
    <t>Sector residencial de Núremberg.</t>
  </si>
  <si>
    <t>B033</t>
  </si>
  <si>
    <t>Mitte</t>
  </si>
  <si>
    <t>B034</t>
  </si>
  <si>
    <t>Kreuzberg</t>
  </si>
  <si>
    <t>Barrio cultural de Berlín.</t>
  </si>
  <si>
    <t>B035</t>
  </si>
  <si>
    <t>Zentrum</t>
  </si>
  <si>
    <t>Centro urbano de Leipzig.</t>
  </si>
  <si>
    <t>B036</t>
  </si>
  <si>
    <t>Plagwitz</t>
  </si>
  <si>
    <t>Barrio moderno de Leipzig.</t>
  </si>
  <si>
    <t>B037</t>
  </si>
  <si>
    <t>Nanshan</t>
  </si>
  <si>
    <t>Distrito tecnológico de Shenzhen.</t>
  </si>
  <si>
    <t>B038</t>
  </si>
  <si>
    <t>Futian</t>
  </si>
  <si>
    <t>Centro financiero de Shenzhen.</t>
  </si>
  <si>
    <t>B039</t>
  </si>
  <si>
    <t>Wangfujing</t>
  </si>
  <si>
    <t>Zona comercial de Dongcheng.</t>
  </si>
  <si>
    <t>B040</t>
  </si>
  <si>
    <t>Dongsi</t>
  </si>
  <si>
    <t>Barrio tradicional de Dongcheng.</t>
  </si>
  <si>
    <t>B041</t>
  </si>
  <si>
    <t>Lujiazui</t>
  </si>
  <si>
    <t>Distrito financiero de Pudong.</t>
  </si>
  <si>
    <t>B042</t>
  </si>
  <si>
    <t>Zhangjiang</t>
  </si>
  <si>
    <t>Parque tecnológico de Pudong.</t>
  </si>
  <si>
    <t>B043</t>
  </si>
  <si>
    <t>Kabukicho</t>
  </si>
  <si>
    <t>Zona comercial de Shinjuku.</t>
  </si>
  <si>
    <t>B044</t>
  </si>
  <si>
    <t>Kagurazaka</t>
  </si>
  <si>
    <t>Barrio cultural de Shinjuku.</t>
  </si>
  <si>
    <t>B045</t>
  </si>
  <si>
    <t>Namba</t>
  </si>
  <si>
    <t>Centro comercial de Sakai.</t>
  </si>
  <si>
    <t>B046</t>
  </si>
  <si>
    <t>Sumiyoshi</t>
  </si>
  <si>
    <t>Sector residencial de Sakai.</t>
  </si>
  <si>
    <t>B047</t>
  </si>
  <si>
    <t>Chuo</t>
  </si>
  <si>
    <t>Distrito central de Sapporo.</t>
  </si>
  <si>
    <t>B048</t>
  </si>
  <si>
    <t>Kita</t>
  </si>
  <si>
    <t>Barrio al norte de Sapporo.</t>
  </si>
  <si>
    <t>B049</t>
  </si>
  <si>
    <t>Shivajinagar</t>
  </si>
  <si>
    <t>Barrio comercial de Pune.</t>
  </si>
  <si>
    <t>B050</t>
  </si>
  <si>
    <t>Koregaon Park</t>
  </si>
  <si>
    <t>Sector residencial de Pune.</t>
  </si>
  <si>
    <t>B051</t>
  </si>
  <si>
    <t>Connaught Place</t>
  </si>
  <si>
    <t>Centro financiero de Nueva Delhi.</t>
  </si>
  <si>
    <t>B052</t>
  </si>
  <si>
    <t>Karol Bagh</t>
  </si>
  <si>
    <t>Barrio comercial de Nueva Delhi.</t>
  </si>
  <si>
    <t>B053</t>
  </si>
  <si>
    <t>Gokulam</t>
  </si>
  <si>
    <t>Barrio residencial de Mysore.</t>
  </si>
  <si>
    <t>B054</t>
  </si>
  <si>
    <t>Jayalakshmipuram</t>
  </si>
  <si>
    <t>Sector urbano de Mysore.</t>
  </si>
  <si>
    <t>Laptop Lenovo IdeaPad</t>
  </si>
  <si>
    <t>Mouse Inalámbrico Logitech</t>
  </si>
  <si>
    <t>Teclado Mecánico Redragon</t>
  </si>
  <si>
    <t>Monitor Samsung 24"</t>
  </si>
  <si>
    <t>Disco SSD 1TB Kingston</t>
  </si>
  <si>
    <t>Memoria RAM 16GB Corsair</t>
  </si>
  <si>
    <t>Audífonos Sony Bluetooth</t>
  </si>
  <si>
    <t>Impresora HP LaserJet</t>
  </si>
  <si>
    <t>Webcam Logitech HD</t>
  </si>
  <si>
    <t>P010</t>
  </si>
  <si>
    <t>Router TP-Link AC1200</t>
  </si>
  <si>
    <t>Calle 10 #15-23</t>
  </si>
  <si>
    <t>Carrera 7 #45-12</t>
  </si>
  <si>
    <t>Avenida 19 #103-45</t>
  </si>
  <si>
    <t>Calle 72 #8-55</t>
  </si>
  <si>
    <t>Carrera 50 #25-30</t>
  </si>
  <si>
    <t>Avenida 68 #40-21</t>
  </si>
  <si>
    <t>Calle 100 #12-78</t>
  </si>
  <si>
    <t>Carrera 15 #93-10</t>
  </si>
  <si>
    <t>Avenida 30 #18-90</t>
  </si>
  <si>
    <t>Calle 45 #22-67</t>
  </si>
  <si>
    <t>pedido</t>
  </si>
  <si>
    <t>pais</t>
  </si>
  <si>
    <t>continente</t>
  </si>
  <si>
    <t>codigo_pt</t>
  </si>
  <si>
    <t>codigo_br</t>
  </si>
  <si>
    <t>codigo_m</t>
  </si>
  <si>
    <t>codigo_d</t>
  </si>
  <si>
    <t>codigo_p</t>
  </si>
  <si>
    <t>contenido</t>
  </si>
  <si>
    <t>codigo_c</t>
  </si>
  <si>
    <t>nombre_c</t>
  </si>
  <si>
    <t>nombre_p</t>
  </si>
  <si>
    <t>nombre_d</t>
  </si>
  <si>
    <t>nombre_m</t>
  </si>
  <si>
    <t>bremen</t>
  </si>
  <si>
    <t>es innovadora,creativa y muy relajada</t>
  </si>
  <si>
    <t>Bremen Centro</t>
  </si>
  <si>
    <t>ciudad_destino</t>
  </si>
  <si>
    <t>departamento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</si>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</sst>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1F232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/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center"/>
    </xf>
    <xf numFmtId="0" fontId="0" fillId="4" borderId="11" xfId="0" applyFill="1" applyBorder="1"/>
    <xf numFmtId="0" fontId="0" fillId="4" borderId="1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wrapText="1"/>
    </xf>
    <xf numFmtId="0" fontId="0" fillId="2" borderId="7" xfId="0" applyFill="1" applyBorder="1" applyAlignment="1">
      <alignment wrapText="1"/>
    </xf>
  </cellXfs>
  <cellStyles count="1">
    <cellStyle name="Normal" xfId="0" builtinId="0"/>
  </cellStyles>
  <dxfs count="54"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3" name="pedido" displayName="pedido" ref="A1:E11" totalsRowShown="0" headerRowDxfId="20" headerRowBorderDxfId="46" tableBorderDxfId="47" totalsRowBorderDxfId="45">
  <autoFilter ref="A1:E11"/>
  <tableColumns count="5">
    <tableColumn id="1" name="codigo_p" dataDxfId="0"/>
    <tableColumn id="2" name="contenido" dataDxfId="1"/>
    <tableColumn id="3" name="ciudad_destino" dataDxfId="44"/>
    <tableColumn id="4" name="direccion" dataDxfId="43"/>
    <tableColumn id="5" name="ciudad_origen" data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2" name="barrio" displayName="barrio" ref="A1:E55" totalsRowShown="0" headerRowDxfId="19" headerRowBorderDxfId="52" tableBorderDxfId="53" totalsRowBorderDxfId="51">
  <autoFilter ref="A1:E55"/>
  <tableColumns count="5">
    <tableColumn id="1" name="codigo_br" dataDxfId="2"/>
    <tableColumn id="2" name="nombre" dataDxfId="3"/>
    <tableColumn id="3" name="descripcion" dataDxfId="50"/>
    <tableColumn id="4" name="municipio_id" dataDxfId="49"/>
    <tableColumn id="5" name="nombre_m" dataDxfId="48">
      <calculatedColumnFormula>VLOOKUP(barrio!$D2,municipio!$A$1:$E$28,2,FALSE)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4" name="municipio" displayName="municipio" ref="A1:E28" totalsRowShown="0" headerRowDxfId="18" dataDxfId="35" headerRowBorderDxfId="40" tableBorderDxfId="41" totalsRowBorderDxfId="39">
  <autoFilter ref="A1:E28"/>
  <tableColumns count="5">
    <tableColumn id="1" name="codigo_m" dataDxfId="4"/>
    <tableColumn id="2" name="nombre" dataDxfId="5"/>
    <tableColumn id="3" name="descripcion" dataDxfId="38"/>
    <tableColumn id="4" name="departamento_id" dataDxfId="37"/>
    <tableColumn id="5" name="nombre_d" dataDxfId="36">
      <calculatedColumnFormula>VLOOKUP(municipio!$D2,departamento!$A$1:$E$28,2,FALSE)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5" name="departamento" displayName="departamento" ref="A1:E28" totalsRowShown="0" headerRowDxfId="17" dataDxfId="28" headerRowBorderDxfId="33" tableBorderDxfId="34" totalsRowBorderDxfId="32">
  <autoFilter ref="A1:E28"/>
  <tableColumns count="5">
    <tableColumn id="1" name="codigo_d" dataDxfId="6"/>
    <tableColumn id="2" name="nombre" dataDxfId="7"/>
    <tableColumn id="3" name="descripcion" dataDxfId="31"/>
    <tableColumn id="4" name="pais_id" dataDxfId="30"/>
    <tableColumn id="5" name="nombre_p" dataDxfId="29">
      <calculatedColumnFormula>VLOOKUP(departamento!$D2,pais!$A$1:$B$10,2,FALSE)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6" name="pais" displayName="pais" ref="A1:E10" totalsRowShown="0" headerRowDxfId="16" dataDxfId="21" headerRowBorderDxfId="26" tableBorderDxfId="27" totalsRowBorderDxfId="25">
  <autoFilter ref="A1:E10"/>
  <tableColumns count="5">
    <tableColumn id="1" name="codigo_p" dataDxfId="8"/>
    <tableColumn id="2" name="nombre" dataDxfId="9"/>
    <tableColumn id="3" name="descripcion" dataDxfId="24"/>
    <tableColumn id="4" name="continente_id" dataDxfId="23"/>
    <tableColumn id="5" name="nombre_c" dataDxfId="22">
      <calculatedColumnFormula>VLOOKUP(pais!$D2,continente!$A$1:$B$4,2,FALSE)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1" name="codpedido" displayName="codpedido" ref="A2:A12" totalsRowShown="0" headerRowDxfId="15" dataDxfId="10" headerRowBorderDxfId="13" tableBorderDxfId="14" totalsRowBorderDxfId="12">
  <autoFilter ref="A2:A12"/>
  <tableColumns count="1">
    <tableColumn id="1" name="codigo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8" sqref="A8:XFD8"/>
    </sheetView>
  </sheetViews>
  <sheetFormatPr baseColWidth="10" defaultRowHeight="14.25"/>
  <cols>
    <col min="2" max="2" width="24.375" bestFit="1" customWidth="1"/>
  </cols>
  <sheetData>
    <row r="1" spans="1:3">
      <c r="A1" s="18" t="s">
        <v>390</v>
      </c>
      <c r="B1" s="18" t="s">
        <v>1</v>
      </c>
      <c r="C1" s="18" t="s">
        <v>2</v>
      </c>
    </row>
    <row r="2" spans="1:3">
      <c r="A2" s="17" t="s">
        <v>19</v>
      </c>
      <c r="B2" s="4" t="s">
        <v>366</v>
      </c>
      <c r="C2" s="14">
        <v>750</v>
      </c>
    </row>
    <row r="3" spans="1:3">
      <c r="A3" s="17" t="s">
        <v>22</v>
      </c>
      <c r="B3" s="4" t="s">
        <v>367</v>
      </c>
      <c r="C3" s="15">
        <v>25.5</v>
      </c>
    </row>
    <row r="4" spans="1:3">
      <c r="A4" s="17" t="s">
        <v>25</v>
      </c>
      <c r="B4" s="4" t="s">
        <v>368</v>
      </c>
      <c r="C4" s="15">
        <v>68.900000000000006</v>
      </c>
    </row>
    <row r="5" spans="1:3">
      <c r="A5" s="17" t="s">
        <v>28</v>
      </c>
      <c r="B5" s="4" t="s">
        <v>369</v>
      </c>
      <c r="C5" s="15">
        <v>189.99</v>
      </c>
    </row>
    <row r="6" spans="1:3">
      <c r="A6" s="17" t="s">
        <v>31</v>
      </c>
      <c r="B6" s="4" t="s">
        <v>370</v>
      </c>
      <c r="C6" s="14">
        <v>95</v>
      </c>
    </row>
    <row r="7" spans="1:3">
      <c r="A7" s="17" t="s">
        <v>34</v>
      </c>
      <c r="B7" s="4" t="s">
        <v>371</v>
      </c>
      <c r="C7" s="15">
        <v>72.3</v>
      </c>
    </row>
    <row r="8" spans="1:3">
      <c r="A8" s="17" t="s">
        <v>37</v>
      </c>
      <c r="B8" s="4" t="s">
        <v>372</v>
      </c>
      <c r="C8" s="14">
        <v>120</v>
      </c>
    </row>
    <row r="9" spans="1:3">
      <c r="A9" s="17" t="s">
        <v>40</v>
      </c>
      <c r="B9" s="4" t="s">
        <v>373</v>
      </c>
      <c r="C9" s="15">
        <v>210.75</v>
      </c>
    </row>
    <row r="10" spans="1:3">
      <c r="A10" s="17" t="s">
        <v>43</v>
      </c>
      <c r="B10" s="4" t="s">
        <v>374</v>
      </c>
      <c r="C10" s="15">
        <v>54.99</v>
      </c>
    </row>
    <row r="11" spans="1:3">
      <c r="A11" s="17" t="s">
        <v>375</v>
      </c>
      <c r="B11" s="4" t="s">
        <v>376</v>
      </c>
      <c r="C11" s="15">
        <v>48.6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A2" sqref="A2:A11"/>
    </sheetView>
  </sheetViews>
  <sheetFormatPr baseColWidth="10" defaultRowHeight="14.25"/>
  <cols>
    <col min="2" max="2" width="27.125" customWidth="1"/>
    <col min="3" max="3" width="17" bestFit="1" customWidth="1"/>
    <col min="4" max="4" width="21.5" customWidth="1"/>
    <col min="5" max="5" width="15.375" customWidth="1"/>
  </cols>
  <sheetData>
    <row r="1" spans="1:11">
      <c r="A1" s="19" t="s">
        <v>394</v>
      </c>
      <c r="B1" s="20" t="s">
        <v>395</v>
      </c>
      <c r="C1" s="20" t="s">
        <v>404</v>
      </c>
      <c r="D1" s="21" t="s">
        <v>3</v>
      </c>
      <c r="E1" s="21" t="s">
        <v>4</v>
      </c>
    </row>
    <row r="2" spans="1:11" ht="15">
      <c r="A2" s="33" t="s">
        <v>19</v>
      </c>
      <c r="B2" s="4" t="s">
        <v>376</v>
      </c>
      <c r="C2" s="4" t="s">
        <v>150</v>
      </c>
      <c r="D2" s="7" t="s">
        <v>377</v>
      </c>
      <c r="E2" s="16" t="s">
        <v>105</v>
      </c>
      <c r="F2" s="2"/>
      <c r="G2" s="2"/>
      <c r="H2" s="2"/>
      <c r="I2" s="2"/>
      <c r="J2" s="2"/>
      <c r="K2" s="2"/>
    </row>
    <row r="3" spans="1:11">
      <c r="A3" s="33" t="s">
        <v>22</v>
      </c>
      <c r="B3" s="4" t="s">
        <v>369</v>
      </c>
      <c r="C3" s="4" t="s">
        <v>168</v>
      </c>
      <c r="D3" s="7" t="s">
        <v>378</v>
      </c>
      <c r="E3" s="7" t="s">
        <v>83</v>
      </c>
      <c r="F3" s="1"/>
      <c r="G3" s="1"/>
      <c r="H3" s="1"/>
      <c r="I3" s="1"/>
      <c r="J3" s="3"/>
      <c r="K3" s="1"/>
    </row>
    <row r="4" spans="1:11">
      <c r="A4" s="33" t="s">
        <v>25</v>
      </c>
      <c r="B4" s="4" t="s">
        <v>368</v>
      </c>
      <c r="C4" s="4" t="s">
        <v>403</v>
      </c>
      <c r="D4" s="7" t="s">
        <v>379</v>
      </c>
      <c r="E4" s="7" t="s">
        <v>401</v>
      </c>
      <c r="F4" s="1"/>
      <c r="G4" s="1"/>
      <c r="H4" s="1"/>
      <c r="I4" s="1"/>
      <c r="J4" s="3"/>
      <c r="K4" s="1"/>
    </row>
    <row r="5" spans="1:11">
      <c r="A5" s="33" t="s">
        <v>28</v>
      </c>
      <c r="B5" s="4" t="s">
        <v>371</v>
      </c>
      <c r="C5" s="4" t="s">
        <v>197</v>
      </c>
      <c r="D5" s="7" t="s">
        <v>380</v>
      </c>
      <c r="E5" s="7" t="s">
        <v>108</v>
      </c>
      <c r="F5" s="1"/>
      <c r="G5" s="1"/>
      <c r="H5" s="1"/>
      <c r="I5" s="1"/>
      <c r="J5" s="3"/>
      <c r="K5" s="1"/>
    </row>
    <row r="6" spans="1:11">
      <c r="A6" s="33" t="s">
        <v>31</v>
      </c>
      <c r="B6" s="4" t="s">
        <v>372</v>
      </c>
      <c r="C6" s="4" t="s">
        <v>185</v>
      </c>
      <c r="D6" s="7" t="s">
        <v>381</v>
      </c>
      <c r="E6" s="7" t="s">
        <v>65</v>
      </c>
      <c r="F6" s="1"/>
      <c r="G6" s="1"/>
      <c r="H6" s="1"/>
      <c r="I6" s="1"/>
      <c r="J6" s="3"/>
      <c r="K6" s="1"/>
    </row>
    <row r="7" spans="1:11">
      <c r="A7" s="33" t="s">
        <v>34</v>
      </c>
      <c r="B7" s="4" t="s">
        <v>372</v>
      </c>
      <c r="C7" s="4" t="s">
        <v>165</v>
      </c>
      <c r="D7" s="7" t="s">
        <v>382</v>
      </c>
      <c r="E7" s="7" t="s">
        <v>74</v>
      </c>
      <c r="F7" s="1"/>
      <c r="G7" s="1"/>
      <c r="H7" s="1"/>
      <c r="I7" s="1"/>
      <c r="J7" s="3"/>
      <c r="K7" s="1"/>
    </row>
    <row r="8" spans="1:11">
      <c r="A8" s="33" t="s">
        <v>37</v>
      </c>
      <c r="B8" s="4" t="s">
        <v>367</v>
      </c>
      <c r="C8" s="4" t="s">
        <v>203</v>
      </c>
      <c r="D8" s="7" t="s">
        <v>383</v>
      </c>
      <c r="E8" s="7" t="s">
        <v>117</v>
      </c>
      <c r="F8" s="1"/>
      <c r="G8" s="1"/>
      <c r="H8" s="1"/>
      <c r="I8" s="1"/>
      <c r="J8" s="3"/>
      <c r="K8" s="1"/>
    </row>
    <row r="9" spans="1:11">
      <c r="A9" s="33" t="s">
        <v>40</v>
      </c>
      <c r="B9" s="4" t="s">
        <v>373</v>
      </c>
      <c r="C9" s="4" t="s">
        <v>176</v>
      </c>
      <c r="D9" s="7" t="s">
        <v>384</v>
      </c>
      <c r="E9" s="7" t="s">
        <v>59</v>
      </c>
      <c r="F9" s="1"/>
      <c r="G9" s="1"/>
      <c r="H9" s="1"/>
      <c r="I9" s="1"/>
      <c r="J9" s="3"/>
      <c r="K9" s="1"/>
    </row>
    <row r="10" spans="1:11">
      <c r="A10" s="33" t="s">
        <v>43</v>
      </c>
      <c r="B10" s="4" t="s">
        <v>367</v>
      </c>
      <c r="C10" s="4" t="s">
        <v>197</v>
      </c>
      <c r="D10" s="7" t="s">
        <v>385</v>
      </c>
      <c r="E10" s="7" t="s">
        <v>401</v>
      </c>
      <c r="F10" s="1"/>
      <c r="G10" s="1"/>
      <c r="H10" s="1"/>
      <c r="I10" s="1"/>
      <c r="J10" s="3"/>
      <c r="K10" s="1"/>
    </row>
    <row r="11" spans="1:11">
      <c r="A11" s="34" t="s">
        <v>375</v>
      </c>
      <c r="B11" s="5" t="s">
        <v>373</v>
      </c>
      <c r="C11" s="4" t="s">
        <v>126</v>
      </c>
      <c r="D11" s="8" t="s">
        <v>386</v>
      </c>
      <c r="E11" s="8" t="s">
        <v>92</v>
      </c>
      <c r="F11" s="1"/>
      <c r="G11" s="1"/>
      <c r="H11" s="1"/>
      <c r="I11" s="1"/>
      <c r="J11" s="3"/>
      <c r="K11" s="1"/>
    </row>
    <row r="12" spans="1:11">
      <c r="B12" s="1"/>
      <c r="C12" s="1"/>
      <c r="D12" s="1"/>
      <c r="E12" s="1"/>
      <c r="F12" s="1"/>
      <c r="G12" s="1"/>
      <c r="H12" s="1"/>
      <c r="I12" s="1"/>
      <c r="J12" s="3"/>
      <c r="K12" s="1"/>
    </row>
    <row r="17" spans="3:5">
      <c r="C17" s="9"/>
      <c r="D17" s="9"/>
      <c r="E17" s="9"/>
    </row>
    <row r="18" spans="3:5">
      <c r="C18" s="10"/>
      <c r="D18" s="11"/>
      <c r="E18" s="10"/>
    </row>
    <row r="19" spans="3:5">
      <c r="C19" s="10"/>
      <c r="D19" s="10"/>
      <c r="E19" s="10"/>
    </row>
    <row r="20" spans="3:5">
      <c r="C20" s="10"/>
      <c r="D20" s="10"/>
      <c r="E20" s="10"/>
    </row>
    <row r="21" spans="3:5">
      <c r="C21" s="10"/>
      <c r="D21" s="10"/>
      <c r="E21" s="10"/>
    </row>
    <row r="22" spans="3:5">
      <c r="C22" s="10"/>
      <c r="D22" s="10"/>
      <c r="E22" s="10"/>
    </row>
    <row r="23" spans="3:5">
      <c r="C23" s="10"/>
      <c r="D23" s="10"/>
      <c r="E23" s="10"/>
    </row>
    <row r="24" spans="3:5">
      <c r="C24" s="10"/>
      <c r="D24" s="10"/>
      <c r="E24" s="10"/>
    </row>
    <row r="25" spans="3:5">
      <c r="C25" s="10"/>
      <c r="D25" s="10"/>
      <c r="E25" s="10"/>
    </row>
    <row r="26" spans="3:5">
      <c r="C26" s="10"/>
      <c r="D26" s="10"/>
      <c r="E26" s="10"/>
    </row>
    <row r="27" spans="3:5">
      <c r="C27" s="10"/>
      <c r="D27" s="10"/>
      <c r="E27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43" workbookViewId="0">
      <selection activeCell="A2" sqref="A2:A55"/>
    </sheetView>
  </sheetViews>
  <sheetFormatPr baseColWidth="10" defaultRowHeight="14.25"/>
  <cols>
    <col min="1" max="1" width="11.625" customWidth="1"/>
    <col min="2" max="2" width="20.25" customWidth="1"/>
    <col min="3" max="3" width="41.625" customWidth="1"/>
    <col min="4" max="4" width="13.875" customWidth="1"/>
    <col min="5" max="5" width="18.25" customWidth="1"/>
  </cols>
  <sheetData>
    <row r="1" spans="1:5">
      <c r="A1" s="22" t="s">
        <v>391</v>
      </c>
      <c r="B1" s="23" t="s">
        <v>1</v>
      </c>
      <c r="C1" s="23" t="s">
        <v>5</v>
      </c>
      <c r="D1" s="24" t="s">
        <v>9</v>
      </c>
      <c r="E1" s="24" t="s">
        <v>400</v>
      </c>
    </row>
    <row r="2" spans="1:5">
      <c r="A2" s="31" t="s">
        <v>205</v>
      </c>
      <c r="B2" s="4" t="s">
        <v>206</v>
      </c>
      <c r="C2" s="4" t="s">
        <v>207</v>
      </c>
      <c r="D2" s="7" t="s">
        <v>125</v>
      </c>
      <c r="E2" s="7" t="str">
        <f>VLOOKUP(barrio!$D2,municipio!$A$1:$E$28,2,FALSE)</f>
        <v>Soacha</v>
      </c>
    </row>
    <row r="3" spans="1:5">
      <c r="A3" s="31" t="s">
        <v>208</v>
      </c>
      <c r="B3" s="4" t="s">
        <v>209</v>
      </c>
      <c r="C3" s="4" t="s">
        <v>210</v>
      </c>
      <c r="D3" s="7" t="s">
        <v>125</v>
      </c>
      <c r="E3" s="7" t="str">
        <f>VLOOKUP(barrio!$D3,municipio!$A$1:$E$28,2,FALSE)</f>
        <v>Soacha</v>
      </c>
    </row>
    <row r="4" spans="1:5">
      <c r="A4" s="31" t="s">
        <v>211</v>
      </c>
      <c r="B4" s="4" t="s">
        <v>212</v>
      </c>
      <c r="C4" s="4" t="s">
        <v>213</v>
      </c>
      <c r="D4" s="7" t="s">
        <v>128</v>
      </c>
      <c r="E4" s="7" t="str">
        <f>VLOOKUP(barrio!$D4,municipio!$A$1:$E$28,2,FALSE)</f>
        <v>Envigado</v>
      </c>
    </row>
    <row r="5" spans="1:5">
      <c r="A5" s="31" t="s">
        <v>214</v>
      </c>
      <c r="B5" s="4" t="s">
        <v>215</v>
      </c>
      <c r="C5" s="4" t="s">
        <v>216</v>
      </c>
      <c r="D5" s="7" t="s">
        <v>128</v>
      </c>
      <c r="E5" s="7" t="str">
        <f>VLOOKUP(barrio!$D5,municipio!$A$1:$E$28,2,FALSE)</f>
        <v>Envigado</v>
      </c>
    </row>
    <row r="6" spans="1:5">
      <c r="A6" s="31" t="s">
        <v>217</v>
      </c>
      <c r="B6" s="4" t="s">
        <v>218</v>
      </c>
      <c r="C6" s="4" t="s">
        <v>219</v>
      </c>
      <c r="D6" s="7" t="s">
        <v>131</v>
      </c>
      <c r="E6" s="7" t="str">
        <f>VLOOKUP(barrio!$D6,municipio!$A$1:$E$28,2,FALSE)</f>
        <v>Palmira</v>
      </c>
    </row>
    <row r="7" spans="1:5">
      <c r="A7" s="31" t="s">
        <v>220</v>
      </c>
      <c r="B7" s="4" t="s">
        <v>221</v>
      </c>
      <c r="C7" s="4" t="s">
        <v>222</v>
      </c>
      <c r="D7" s="7" t="s">
        <v>131</v>
      </c>
      <c r="E7" s="7" t="str">
        <f>VLOOKUP(barrio!$D7,municipio!$A$1:$E$28,2,FALSE)</f>
        <v>Palmira</v>
      </c>
    </row>
    <row r="8" spans="1:5">
      <c r="A8" s="31" t="s">
        <v>223</v>
      </c>
      <c r="B8" s="4" t="s">
        <v>224</v>
      </c>
      <c r="C8" s="4" t="s">
        <v>225</v>
      </c>
      <c r="D8" s="7" t="s">
        <v>134</v>
      </c>
      <c r="E8" s="7" t="str">
        <f>VLOOKUP(barrio!$D8,municipio!$A$1:$E$28,2,FALSE)</f>
        <v>Los Ángeles</v>
      </c>
    </row>
    <row r="9" spans="1:5">
      <c r="A9" s="31" t="s">
        <v>226</v>
      </c>
      <c r="B9" s="4" t="s">
        <v>227</v>
      </c>
      <c r="C9" s="4" t="s">
        <v>228</v>
      </c>
      <c r="D9" s="7" t="s">
        <v>134</v>
      </c>
      <c r="E9" s="7" t="str">
        <f>VLOOKUP(barrio!$D9,municipio!$A$1:$E$28,2,FALSE)</f>
        <v>Los Ángeles</v>
      </c>
    </row>
    <row r="10" spans="1:5">
      <c r="A10" s="31" t="s">
        <v>229</v>
      </c>
      <c r="B10" s="4" t="s">
        <v>230</v>
      </c>
      <c r="C10" s="4" t="s">
        <v>231</v>
      </c>
      <c r="D10" s="7" t="s">
        <v>137</v>
      </c>
      <c r="E10" s="7" t="str">
        <f>VLOOKUP(barrio!$D10,municipio!$A$1:$E$28,2,FALSE)</f>
        <v>Houston</v>
      </c>
    </row>
    <row r="11" spans="1:5">
      <c r="A11" s="31" t="s">
        <v>232</v>
      </c>
      <c r="B11" s="4" t="s">
        <v>233</v>
      </c>
      <c r="C11" s="4" t="s">
        <v>234</v>
      </c>
      <c r="D11" s="7" t="s">
        <v>137</v>
      </c>
      <c r="E11" s="7" t="str">
        <f>VLOOKUP(barrio!$D11,municipio!$A$1:$E$28,2,FALSE)</f>
        <v>Houston</v>
      </c>
    </row>
    <row r="12" spans="1:5">
      <c r="A12" s="31" t="s">
        <v>235</v>
      </c>
      <c r="B12" s="4" t="s">
        <v>236</v>
      </c>
      <c r="C12" s="4" t="s">
        <v>237</v>
      </c>
      <c r="D12" s="7" t="s">
        <v>140</v>
      </c>
      <c r="E12" s="7" t="str">
        <f>VLOOKUP(barrio!$D12,municipio!$A$1:$E$28,2,FALSE)</f>
        <v>Miami</v>
      </c>
    </row>
    <row r="13" spans="1:5">
      <c r="A13" s="31" t="s">
        <v>238</v>
      </c>
      <c r="B13" s="4" t="s">
        <v>239</v>
      </c>
      <c r="C13" s="4" t="s">
        <v>240</v>
      </c>
      <c r="D13" s="7" t="s">
        <v>140</v>
      </c>
      <c r="E13" s="7" t="str">
        <f>VLOOKUP(barrio!$D13,municipio!$A$1:$E$28,2,FALSE)</f>
        <v>Miami</v>
      </c>
    </row>
    <row r="14" spans="1:5">
      <c r="A14" s="31" t="s">
        <v>241</v>
      </c>
      <c r="B14" s="4" t="s">
        <v>242</v>
      </c>
      <c r="C14" s="4" t="s">
        <v>243</v>
      </c>
      <c r="D14" s="7" t="s">
        <v>143</v>
      </c>
      <c r="E14" s="7" t="str">
        <f>VLOOKUP(barrio!$D14,municipio!$A$1:$E$28,2,FALSE)</f>
        <v>Campinas</v>
      </c>
    </row>
    <row r="15" spans="1:5">
      <c r="A15" s="31" t="s">
        <v>244</v>
      </c>
      <c r="B15" s="4" t="s">
        <v>245</v>
      </c>
      <c r="C15" s="4" t="s">
        <v>246</v>
      </c>
      <c r="D15" s="7" t="s">
        <v>143</v>
      </c>
      <c r="E15" s="7" t="str">
        <f>VLOOKUP(barrio!$D15,municipio!$A$1:$E$28,2,FALSE)</f>
        <v>Campinas</v>
      </c>
    </row>
    <row r="16" spans="1:5">
      <c r="A16" s="31" t="s">
        <v>247</v>
      </c>
      <c r="B16" s="4" t="s">
        <v>248</v>
      </c>
      <c r="C16" s="4" t="s">
        <v>249</v>
      </c>
      <c r="D16" s="7" t="s">
        <v>146</v>
      </c>
      <c r="E16" s="7" t="str">
        <f>VLOOKUP(barrio!$D16,municipio!$A$1:$E$28,2,FALSE)</f>
        <v>Niterói</v>
      </c>
    </row>
    <row r="17" spans="1:5">
      <c r="A17" s="31" t="s">
        <v>250</v>
      </c>
      <c r="B17" s="4" t="s">
        <v>251</v>
      </c>
      <c r="C17" s="4" t="s">
        <v>252</v>
      </c>
      <c r="D17" s="7" t="s">
        <v>146</v>
      </c>
      <c r="E17" s="7" t="str">
        <f>VLOOKUP(barrio!$D17,municipio!$A$1:$E$28,2,FALSE)</f>
        <v>Niterói</v>
      </c>
    </row>
    <row r="18" spans="1:5">
      <c r="A18" s="31" t="s">
        <v>253</v>
      </c>
      <c r="B18" s="4" t="s">
        <v>254</v>
      </c>
      <c r="C18" s="4" t="s">
        <v>255</v>
      </c>
      <c r="D18" s="7" t="s">
        <v>149</v>
      </c>
      <c r="E18" s="7" t="str">
        <f>VLOOKUP(barrio!$D18,municipio!$A$1:$E$28,2,FALSE)</f>
        <v>Salvador</v>
      </c>
    </row>
    <row r="19" spans="1:5">
      <c r="A19" s="31" t="s">
        <v>256</v>
      </c>
      <c r="B19" s="4" t="s">
        <v>257</v>
      </c>
      <c r="C19" s="4" t="s">
        <v>258</v>
      </c>
      <c r="D19" s="7" t="s">
        <v>149</v>
      </c>
      <c r="E19" s="7" t="str">
        <f>VLOOKUP(barrio!$D19,municipio!$A$1:$E$28,2,FALSE)</f>
        <v>Salvador</v>
      </c>
    </row>
    <row r="20" spans="1:5">
      <c r="A20" s="31" t="s">
        <v>259</v>
      </c>
      <c r="B20" s="4" t="s">
        <v>260</v>
      </c>
      <c r="C20" s="4" t="s">
        <v>261</v>
      </c>
      <c r="D20" s="7" t="s">
        <v>152</v>
      </c>
      <c r="E20" s="7" t="str">
        <f>VLOOKUP(barrio!$D20,municipio!$A$1:$E$28,2,FALSE)</f>
        <v>Alcalá de Henares</v>
      </c>
    </row>
    <row r="21" spans="1:5">
      <c r="A21" s="31" t="s">
        <v>262</v>
      </c>
      <c r="B21" s="4" t="s">
        <v>263</v>
      </c>
      <c r="C21" s="4" t="s">
        <v>264</v>
      </c>
      <c r="D21" s="7" t="s">
        <v>152</v>
      </c>
      <c r="E21" s="7" t="str">
        <f>VLOOKUP(barrio!$D21,municipio!$A$1:$E$28,2,FALSE)</f>
        <v>Alcalá de Henares</v>
      </c>
    </row>
    <row r="22" spans="1:5">
      <c r="A22" s="31" t="s">
        <v>265</v>
      </c>
      <c r="B22" s="4" t="s">
        <v>266</v>
      </c>
      <c r="C22" s="4" t="s">
        <v>267</v>
      </c>
      <c r="D22" s="7" t="s">
        <v>155</v>
      </c>
      <c r="E22" s="7" t="str">
        <f>VLOOKUP(barrio!$D22,municipio!$A$1:$E$28,2,FALSE)</f>
        <v>Girona</v>
      </c>
    </row>
    <row r="23" spans="1:5">
      <c r="A23" s="31" t="s">
        <v>268</v>
      </c>
      <c r="B23" s="4" t="s">
        <v>269</v>
      </c>
      <c r="C23" s="4" t="s">
        <v>270</v>
      </c>
      <c r="D23" s="7" t="s">
        <v>155</v>
      </c>
      <c r="E23" s="7" t="str">
        <f>VLOOKUP(barrio!$D23,municipio!$A$1:$E$28,2,FALSE)</f>
        <v>Girona</v>
      </c>
    </row>
    <row r="24" spans="1:5">
      <c r="A24" s="31" t="s">
        <v>271</v>
      </c>
      <c r="B24" s="4" t="s">
        <v>272</v>
      </c>
      <c r="C24" s="4" t="s">
        <v>273</v>
      </c>
      <c r="D24" s="7" t="s">
        <v>158</v>
      </c>
      <c r="E24" s="7" t="str">
        <f>VLOOKUP(barrio!$D24,municipio!$A$1:$E$28,2,FALSE)</f>
        <v>Málaga</v>
      </c>
    </row>
    <row r="25" spans="1:5">
      <c r="A25" s="31" t="s">
        <v>274</v>
      </c>
      <c r="B25" s="4" t="s">
        <v>275</v>
      </c>
      <c r="C25" s="4" t="s">
        <v>276</v>
      </c>
      <c r="D25" s="7" t="s">
        <v>158</v>
      </c>
      <c r="E25" s="7" t="str">
        <f>VLOOKUP(barrio!$D25,municipio!$A$1:$E$28,2,FALSE)</f>
        <v>Málaga</v>
      </c>
    </row>
    <row r="26" spans="1:5">
      <c r="A26" s="31" t="s">
        <v>277</v>
      </c>
      <c r="B26" s="4" t="s">
        <v>278</v>
      </c>
      <c r="C26" s="4" t="s">
        <v>279</v>
      </c>
      <c r="D26" s="7" t="s">
        <v>161</v>
      </c>
      <c r="E26" s="7" t="str">
        <f>VLOOKUP(barrio!$D26,municipio!$A$1:$E$28,2,FALSE)</f>
        <v>Versalles</v>
      </c>
    </row>
    <row r="27" spans="1:5">
      <c r="A27" s="31" t="s">
        <v>280</v>
      </c>
      <c r="B27" s="4" t="s">
        <v>281</v>
      </c>
      <c r="C27" s="4" t="s">
        <v>282</v>
      </c>
      <c r="D27" s="7" t="s">
        <v>161</v>
      </c>
      <c r="E27" s="7" t="str">
        <f>VLOOKUP(barrio!$D27,municipio!$A$1:$E$28,2,FALSE)</f>
        <v>Versalles</v>
      </c>
    </row>
    <row r="28" spans="1:5">
      <c r="A28" s="31" t="s">
        <v>283</v>
      </c>
      <c r="B28" s="4" t="s">
        <v>284</v>
      </c>
      <c r="C28" s="4" t="s">
        <v>285</v>
      </c>
      <c r="D28" s="7" t="s">
        <v>164</v>
      </c>
      <c r="E28" s="7" t="str">
        <f>VLOOKUP(barrio!$D28,municipio!$A$1:$E$28,2,FALSE)</f>
        <v>Marsella</v>
      </c>
    </row>
    <row r="29" spans="1:5">
      <c r="A29" s="31" t="s">
        <v>286</v>
      </c>
      <c r="B29" s="4" t="s">
        <v>287</v>
      </c>
      <c r="C29" s="4" t="s">
        <v>288</v>
      </c>
      <c r="D29" s="7" t="s">
        <v>164</v>
      </c>
      <c r="E29" s="7" t="str">
        <f>VLOOKUP(barrio!$D29,municipio!$A$1:$E$28,2,FALSE)</f>
        <v>Marsella</v>
      </c>
    </row>
    <row r="30" spans="1:5">
      <c r="A30" s="31" t="s">
        <v>289</v>
      </c>
      <c r="B30" s="4" t="s">
        <v>290</v>
      </c>
      <c r="C30" s="4" t="s">
        <v>291</v>
      </c>
      <c r="D30" s="7" t="s">
        <v>167</v>
      </c>
      <c r="E30" s="7" t="str">
        <f>VLOOKUP(barrio!$D30,municipio!$A$1:$E$28,2,FALSE)</f>
        <v>Caen</v>
      </c>
    </row>
    <row r="31" spans="1:5">
      <c r="A31" s="31" t="s">
        <v>292</v>
      </c>
      <c r="B31" s="4" t="s">
        <v>293</v>
      </c>
      <c r="C31" s="4" t="s">
        <v>294</v>
      </c>
      <c r="D31" s="7" t="s">
        <v>167</v>
      </c>
      <c r="E31" s="7" t="str">
        <f>VLOOKUP(barrio!$D31,municipio!$A$1:$E$28,2,FALSE)</f>
        <v>Caen</v>
      </c>
    </row>
    <row r="32" spans="1:5">
      <c r="A32" s="31" t="s">
        <v>295</v>
      </c>
      <c r="B32" s="4" t="s">
        <v>296</v>
      </c>
      <c r="C32" s="4" t="s">
        <v>297</v>
      </c>
      <c r="D32" s="7" t="s">
        <v>170</v>
      </c>
      <c r="E32" s="7" t="str">
        <f>VLOOKUP(barrio!$D32,municipio!$A$1:$E$28,2,FALSE)</f>
        <v>Núremberg</v>
      </c>
    </row>
    <row r="33" spans="1:5">
      <c r="A33" s="31" t="s">
        <v>298</v>
      </c>
      <c r="B33" s="4" t="s">
        <v>299</v>
      </c>
      <c r="C33" s="4" t="s">
        <v>300</v>
      </c>
      <c r="D33" s="7" t="s">
        <v>170</v>
      </c>
      <c r="E33" s="7" t="str">
        <f>VLOOKUP(barrio!$D33,municipio!$A$1:$E$28,2,FALSE)</f>
        <v>Núremberg</v>
      </c>
    </row>
    <row r="34" spans="1:5">
      <c r="A34" s="31" t="s">
        <v>301</v>
      </c>
      <c r="B34" s="4" t="s">
        <v>302</v>
      </c>
      <c r="C34" s="4" t="s">
        <v>174</v>
      </c>
      <c r="D34" s="7" t="s">
        <v>173</v>
      </c>
      <c r="E34" s="7" t="str">
        <f>VLOOKUP(barrio!$D34,municipio!A1:E29,2,FALSE)</f>
        <v>Bremen Centro</v>
      </c>
    </row>
    <row r="35" spans="1:5">
      <c r="A35" s="31" t="s">
        <v>303</v>
      </c>
      <c r="B35" s="4" t="s">
        <v>304</v>
      </c>
      <c r="C35" s="4" t="s">
        <v>305</v>
      </c>
      <c r="D35" s="7" t="s">
        <v>173</v>
      </c>
      <c r="E35" s="7" t="str">
        <f>VLOOKUP(barrio!$D35,municipio!$A$1:$E$28,2,FALSE)</f>
        <v>Bremen Centro</v>
      </c>
    </row>
    <row r="36" spans="1:5">
      <c r="A36" s="31" t="s">
        <v>306</v>
      </c>
      <c r="B36" s="4" t="s">
        <v>307</v>
      </c>
      <c r="C36" s="4" t="s">
        <v>308</v>
      </c>
      <c r="D36" s="7" t="s">
        <v>175</v>
      </c>
      <c r="E36" s="7" t="str">
        <f>VLOOKUP(barrio!$D36,municipio!$A$1:$E$28,2,FALSE)</f>
        <v>Leipzig</v>
      </c>
    </row>
    <row r="37" spans="1:5">
      <c r="A37" s="31" t="s">
        <v>309</v>
      </c>
      <c r="B37" s="4" t="s">
        <v>310</v>
      </c>
      <c r="C37" s="4" t="s">
        <v>311</v>
      </c>
      <c r="D37" s="7" t="s">
        <v>175</v>
      </c>
      <c r="E37" s="7" t="str">
        <f>VLOOKUP(barrio!$D37,municipio!$A$1:$E$28,2,FALSE)</f>
        <v>Leipzig</v>
      </c>
    </row>
    <row r="38" spans="1:5">
      <c r="A38" s="31" t="s">
        <v>312</v>
      </c>
      <c r="B38" s="4" t="s">
        <v>313</v>
      </c>
      <c r="C38" s="4" t="s">
        <v>314</v>
      </c>
      <c r="D38" s="7" t="s">
        <v>178</v>
      </c>
      <c r="E38" s="7" t="str">
        <f>VLOOKUP(barrio!$D38,municipio!$A$1:$E$28,2,FALSE)</f>
        <v>Shenzhen</v>
      </c>
    </row>
    <row r="39" spans="1:5">
      <c r="A39" s="31" t="s">
        <v>315</v>
      </c>
      <c r="B39" s="4" t="s">
        <v>316</v>
      </c>
      <c r="C39" s="4" t="s">
        <v>317</v>
      </c>
      <c r="D39" s="7" t="s">
        <v>178</v>
      </c>
      <c r="E39" s="7" t="str">
        <f>VLOOKUP(barrio!$D39,municipio!$A$1:$E$28,2,FALSE)</f>
        <v>Shenzhen</v>
      </c>
    </row>
    <row r="40" spans="1:5">
      <c r="A40" s="31" t="s">
        <v>318</v>
      </c>
      <c r="B40" s="4" t="s">
        <v>319</v>
      </c>
      <c r="C40" s="4" t="s">
        <v>320</v>
      </c>
      <c r="D40" s="7" t="s">
        <v>181</v>
      </c>
      <c r="E40" s="7" t="str">
        <f>VLOOKUP(barrio!$D40,municipio!$A$1:$E$28,2,FALSE)</f>
        <v>Distrito Dongcheng</v>
      </c>
    </row>
    <row r="41" spans="1:5">
      <c r="A41" s="31" t="s">
        <v>321</v>
      </c>
      <c r="B41" s="4" t="s">
        <v>322</v>
      </c>
      <c r="C41" s="4" t="s">
        <v>323</v>
      </c>
      <c r="D41" s="7" t="s">
        <v>181</v>
      </c>
      <c r="E41" s="7" t="str">
        <f>VLOOKUP(barrio!$D41,municipio!$A$1:$E$28,2,FALSE)</f>
        <v>Distrito Dongcheng</v>
      </c>
    </row>
    <row r="42" spans="1:5">
      <c r="A42" s="31" t="s">
        <v>324</v>
      </c>
      <c r="B42" s="4" t="s">
        <v>325</v>
      </c>
      <c r="C42" s="4" t="s">
        <v>326</v>
      </c>
      <c r="D42" s="7" t="s">
        <v>184</v>
      </c>
      <c r="E42" s="7" t="str">
        <f>VLOOKUP(barrio!$D42,municipio!$A$1:$E$28,2,FALSE)</f>
        <v>Pudong</v>
      </c>
    </row>
    <row r="43" spans="1:5">
      <c r="A43" s="31" t="s">
        <v>327</v>
      </c>
      <c r="B43" s="4" t="s">
        <v>328</v>
      </c>
      <c r="C43" s="4" t="s">
        <v>329</v>
      </c>
      <c r="D43" s="7" t="s">
        <v>184</v>
      </c>
      <c r="E43" s="7" t="str">
        <f>VLOOKUP(barrio!$D43,municipio!$A$1:$E$28,2,FALSE)</f>
        <v>Pudong</v>
      </c>
    </row>
    <row r="44" spans="1:5">
      <c r="A44" s="31" t="s">
        <v>330</v>
      </c>
      <c r="B44" s="4" t="s">
        <v>331</v>
      </c>
      <c r="C44" s="4" t="s">
        <v>332</v>
      </c>
      <c r="D44" s="7" t="s">
        <v>187</v>
      </c>
      <c r="E44" s="7" t="str">
        <f>VLOOKUP(barrio!$D44,municipio!$A$1:$E$28,2,FALSE)</f>
        <v>Shinjuku</v>
      </c>
    </row>
    <row r="45" spans="1:5">
      <c r="A45" s="31" t="s">
        <v>333</v>
      </c>
      <c r="B45" s="4" t="s">
        <v>334</v>
      </c>
      <c r="C45" s="4" t="s">
        <v>335</v>
      </c>
      <c r="D45" s="7" t="s">
        <v>187</v>
      </c>
      <c r="E45" s="7" t="str">
        <f>VLOOKUP(barrio!$D45,municipio!$A$1:$E$28,2,FALSE)</f>
        <v>Shinjuku</v>
      </c>
    </row>
    <row r="46" spans="1:5">
      <c r="A46" s="31" t="s">
        <v>336</v>
      </c>
      <c r="B46" s="4" t="s">
        <v>337</v>
      </c>
      <c r="C46" s="4" t="s">
        <v>338</v>
      </c>
      <c r="D46" s="7" t="s">
        <v>190</v>
      </c>
      <c r="E46" s="7" t="str">
        <f>VLOOKUP(barrio!$D46,municipio!$A$1:$E$28,2,FALSE)</f>
        <v>Sakai</v>
      </c>
    </row>
    <row r="47" spans="1:5">
      <c r="A47" s="31" t="s">
        <v>339</v>
      </c>
      <c r="B47" s="4" t="s">
        <v>340</v>
      </c>
      <c r="C47" s="4" t="s">
        <v>341</v>
      </c>
      <c r="D47" s="7" t="s">
        <v>190</v>
      </c>
      <c r="E47" s="7" t="str">
        <f>VLOOKUP(barrio!$D47,municipio!$A$1:$E$28,2,FALSE)</f>
        <v>Sakai</v>
      </c>
    </row>
    <row r="48" spans="1:5">
      <c r="A48" s="31" t="s">
        <v>342</v>
      </c>
      <c r="B48" s="4" t="s">
        <v>343</v>
      </c>
      <c r="C48" s="4" t="s">
        <v>344</v>
      </c>
      <c r="D48" s="7" t="s">
        <v>193</v>
      </c>
      <c r="E48" s="7" t="str">
        <f>VLOOKUP(barrio!$D48,municipio!$A$1:$E$28,2,FALSE)</f>
        <v>Sapporo</v>
      </c>
    </row>
    <row r="49" spans="1:5">
      <c r="A49" s="31" t="s">
        <v>345</v>
      </c>
      <c r="B49" s="4" t="s">
        <v>346</v>
      </c>
      <c r="C49" s="4" t="s">
        <v>347</v>
      </c>
      <c r="D49" s="7" t="s">
        <v>193</v>
      </c>
      <c r="E49" s="7" t="str">
        <f>VLOOKUP(barrio!$D49,municipio!$A$1:$E$28,2,FALSE)</f>
        <v>Sapporo</v>
      </c>
    </row>
    <row r="50" spans="1:5">
      <c r="A50" s="31" t="s">
        <v>348</v>
      </c>
      <c r="B50" s="4" t="s">
        <v>349</v>
      </c>
      <c r="C50" s="4" t="s">
        <v>350</v>
      </c>
      <c r="D50" s="7" t="s">
        <v>196</v>
      </c>
      <c r="E50" s="7" t="str">
        <f>VLOOKUP(barrio!$D50,municipio!$A$1:$E$28,2,FALSE)</f>
        <v>Pune</v>
      </c>
    </row>
    <row r="51" spans="1:5" ht="21.75" customHeight="1">
      <c r="A51" s="31" t="s">
        <v>351</v>
      </c>
      <c r="B51" s="4" t="s">
        <v>352</v>
      </c>
      <c r="C51" s="4" t="s">
        <v>353</v>
      </c>
      <c r="D51" s="7" t="s">
        <v>196</v>
      </c>
      <c r="E51" s="7" t="str">
        <f>VLOOKUP(barrio!$D51,municipio!$A$1:$E$28,2,FALSE)</f>
        <v>Pune</v>
      </c>
    </row>
    <row r="52" spans="1:5">
      <c r="A52" s="31" t="s">
        <v>354</v>
      </c>
      <c r="B52" s="4" t="s">
        <v>355</v>
      </c>
      <c r="C52" s="4" t="s">
        <v>356</v>
      </c>
      <c r="D52" s="7" t="s">
        <v>199</v>
      </c>
      <c r="E52" s="7" t="str">
        <f>VLOOKUP(barrio!$D52,municipio!$A$1:$E$28,2,FALSE)</f>
        <v>Nueva Delhi</v>
      </c>
    </row>
    <row r="53" spans="1:5">
      <c r="A53" s="31" t="s">
        <v>357</v>
      </c>
      <c r="B53" s="4" t="s">
        <v>358</v>
      </c>
      <c r="C53" s="4" t="s">
        <v>359</v>
      </c>
      <c r="D53" s="7" t="s">
        <v>199</v>
      </c>
      <c r="E53" s="7" t="str">
        <f>VLOOKUP(barrio!$D53,municipio!$A$1:$E$28,2,FALSE)</f>
        <v>Nueva Delhi</v>
      </c>
    </row>
    <row r="54" spans="1:5">
      <c r="A54" s="31" t="s">
        <v>360</v>
      </c>
      <c r="B54" s="4" t="s">
        <v>361</v>
      </c>
      <c r="C54" s="4" t="s">
        <v>362</v>
      </c>
      <c r="D54" s="7" t="s">
        <v>202</v>
      </c>
      <c r="E54" s="7" t="str">
        <f>VLOOKUP(barrio!$D54,municipio!$A$1:$E$28,2,FALSE)</f>
        <v>Mysore</v>
      </c>
    </row>
    <row r="55" spans="1:5">
      <c r="A55" s="32" t="s">
        <v>363</v>
      </c>
      <c r="B55" s="5" t="s">
        <v>364</v>
      </c>
      <c r="C55" s="5" t="s">
        <v>365</v>
      </c>
      <c r="D55" s="8" t="s">
        <v>202</v>
      </c>
      <c r="E55" s="8" t="str">
        <f>VLOOKUP(barrio!$D55,municipio!$A$1:$E$28,2,FALSE)</f>
        <v>Mysore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10" workbookViewId="0">
      <selection activeCell="A2" sqref="A2:A28"/>
    </sheetView>
  </sheetViews>
  <sheetFormatPr baseColWidth="10" defaultRowHeight="14.25"/>
  <cols>
    <col min="1" max="1" width="11.25" customWidth="1"/>
    <col min="2" max="2" width="16.625" bestFit="1" customWidth="1"/>
    <col min="3" max="3" width="48.875" bestFit="1" customWidth="1"/>
    <col min="4" max="4" width="17.625" customWidth="1"/>
    <col min="5" max="5" width="13.5" bestFit="1" customWidth="1"/>
  </cols>
  <sheetData>
    <row r="1" spans="1:5">
      <c r="A1" s="22" t="s">
        <v>392</v>
      </c>
      <c r="B1" s="23" t="s">
        <v>1</v>
      </c>
      <c r="C1" s="23" t="s">
        <v>5</v>
      </c>
      <c r="D1" s="24" t="s">
        <v>8</v>
      </c>
      <c r="E1" s="24" t="s">
        <v>399</v>
      </c>
    </row>
    <row r="2" spans="1:5">
      <c r="A2" s="31" t="s">
        <v>125</v>
      </c>
      <c r="B2" s="4" t="s">
        <v>126</v>
      </c>
      <c r="C2" s="4" t="s">
        <v>127</v>
      </c>
      <c r="D2" s="4" t="s">
        <v>46</v>
      </c>
      <c r="E2" s="7" t="str">
        <f>VLOOKUP(municipio!$D2,departamento!$A$1:$E$28,2,FALSE)</f>
        <v>Cundinamarca</v>
      </c>
    </row>
    <row r="3" spans="1:5">
      <c r="A3" s="31" t="s">
        <v>128</v>
      </c>
      <c r="B3" s="4" t="s">
        <v>129</v>
      </c>
      <c r="C3" s="4" t="s">
        <v>130</v>
      </c>
      <c r="D3" s="4" t="s">
        <v>49</v>
      </c>
      <c r="E3" s="7" t="str">
        <f>VLOOKUP(municipio!$D3,departamento!$A$1:$E$28,2,FALSE)</f>
        <v>Antioquia</v>
      </c>
    </row>
    <row r="4" spans="1:5">
      <c r="A4" s="31" t="s">
        <v>131</v>
      </c>
      <c r="B4" s="4" t="s">
        <v>132</v>
      </c>
      <c r="C4" s="4" t="s">
        <v>133</v>
      </c>
      <c r="D4" s="4" t="s">
        <v>52</v>
      </c>
      <c r="E4" s="7" t="str">
        <f>VLOOKUP(municipio!$D4,departamento!$A$1:$E$28,2,FALSE)</f>
        <v>Valle del Cauca</v>
      </c>
    </row>
    <row r="5" spans="1:5">
      <c r="A5" s="31" t="s">
        <v>134</v>
      </c>
      <c r="B5" s="4" t="s">
        <v>135</v>
      </c>
      <c r="C5" s="4" t="s">
        <v>136</v>
      </c>
      <c r="D5" s="4" t="s">
        <v>55</v>
      </c>
      <c r="E5" s="7" t="str">
        <f>VLOOKUP(municipio!$D5,departamento!$A$1:$E$28,2,FALSE)</f>
        <v>California</v>
      </c>
    </row>
    <row r="6" spans="1:5">
      <c r="A6" s="31" t="s">
        <v>137</v>
      </c>
      <c r="B6" s="4" t="s">
        <v>138</v>
      </c>
      <c r="C6" s="4" t="s">
        <v>139</v>
      </c>
      <c r="D6" s="4" t="s">
        <v>58</v>
      </c>
      <c r="E6" s="7" t="str">
        <f>VLOOKUP(municipio!$D6,departamento!$A$1:$E$28,2,FALSE)</f>
        <v>Texas</v>
      </c>
    </row>
    <row r="7" spans="1:5">
      <c r="A7" s="31" t="s">
        <v>140</v>
      </c>
      <c r="B7" s="4" t="s">
        <v>141</v>
      </c>
      <c r="C7" s="4" t="s">
        <v>142</v>
      </c>
      <c r="D7" s="4" t="s">
        <v>61</v>
      </c>
      <c r="E7" s="7" t="str">
        <f>VLOOKUP(municipio!$D7,departamento!$A$1:$E$28,2,FALSE)</f>
        <v>Florida</v>
      </c>
    </row>
    <row r="8" spans="1:5">
      <c r="A8" s="31" t="s">
        <v>143</v>
      </c>
      <c r="B8" s="4" t="s">
        <v>144</v>
      </c>
      <c r="C8" s="4" t="s">
        <v>145</v>
      </c>
      <c r="D8" s="4" t="s">
        <v>64</v>
      </c>
      <c r="E8" s="7" t="str">
        <f>VLOOKUP(municipio!$D8,departamento!$A$1:$E$28,2,FALSE)</f>
        <v>São Paulo</v>
      </c>
    </row>
    <row r="9" spans="1:5">
      <c r="A9" s="31" t="s">
        <v>146</v>
      </c>
      <c r="B9" s="4" t="s">
        <v>147</v>
      </c>
      <c r="C9" s="4" t="s">
        <v>148</v>
      </c>
      <c r="D9" s="4" t="s">
        <v>67</v>
      </c>
      <c r="E9" s="7" t="str">
        <f>VLOOKUP(municipio!$D9,departamento!$A$1:$E$28,2,FALSE)</f>
        <v>Río de Janeiro</v>
      </c>
    </row>
    <row r="10" spans="1:5">
      <c r="A10" s="31" t="s">
        <v>149</v>
      </c>
      <c r="B10" s="4" t="s">
        <v>150</v>
      </c>
      <c r="C10" s="4" t="s">
        <v>151</v>
      </c>
      <c r="D10" s="4" t="s">
        <v>70</v>
      </c>
      <c r="E10" s="7" t="str">
        <f>VLOOKUP(municipio!$D10,departamento!$A$1:$E$28,2,FALSE)</f>
        <v>Bahía</v>
      </c>
    </row>
    <row r="11" spans="1:5">
      <c r="A11" s="31" t="s">
        <v>152</v>
      </c>
      <c r="B11" s="4" t="s">
        <v>153</v>
      </c>
      <c r="C11" s="4" t="s">
        <v>154</v>
      </c>
      <c r="D11" s="4" t="s">
        <v>73</v>
      </c>
      <c r="E11" s="7" t="str">
        <f>VLOOKUP(municipio!$D11,departamento!$A$1:$E$28,2,FALSE)</f>
        <v>Madrid</v>
      </c>
    </row>
    <row r="12" spans="1:5">
      <c r="A12" s="31" t="s">
        <v>155</v>
      </c>
      <c r="B12" s="4" t="s">
        <v>156</v>
      </c>
      <c r="C12" s="4" t="s">
        <v>157</v>
      </c>
      <c r="D12" s="4" t="s">
        <v>76</v>
      </c>
      <c r="E12" s="7" t="str">
        <f>VLOOKUP(municipio!$D12,departamento!$A$1:$E$28,2,FALSE)</f>
        <v>Cataluña</v>
      </c>
    </row>
    <row r="13" spans="1:5">
      <c r="A13" s="31" t="s">
        <v>158</v>
      </c>
      <c r="B13" s="4" t="s">
        <v>159</v>
      </c>
      <c r="C13" s="4" t="s">
        <v>160</v>
      </c>
      <c r="D13" s="4" t="s">
        <v>79</v>
      </c>
      <c r="E13" s="7" t="str">
        <f>VLOOKUP(municipio!$D13,departamento!$A$1:$E$28,2,FALSE)</f>
        <v>Andalucía</v>
      </c>
    </row>
    <row r="14" spans="1:5">
      <c r="A14" s="31" t="s">
        <v>161</v>
      </c>
      <c r="B14" s="4" t="s">
        <v>162</v>
      </c>
      <c r="C14" s="4" t="s">
        <v>163</v>
      </c>
      <c r="D14" s="4" t="s">
        <v>82</v>
      </c>
      <c r="E14" s="7" t="str">
        <f>VLOOKUP(municipio!$D14,departamento!$A$1:$E$28,2,FALSE)</f>
        <v>Île-de-France</v>
      </c>
    </row>
    <row r="15" spans="1:5">
      <c r="A15" s="31" t="s">
        <v>164</v>
      </c>
      <c r="B15" s="4" t="s">
        <v>165</v>
      </c>
      <c r="C15" s="4" t="s">
        <v>166</v>
      </c>
      <c r="D15" s="4" t="s">
        <v>85</v>
      </c>
      <c r="E15" s="7" t="str">
        <f>VLOOKUP(municipio!$D15,departamento!$A$1:$E$28,2,FALSE)</f>
        <v>Provenza</v>
      </c>
    </row>
    <row r="16" spans="1:5">
      <c r="A16" s="31" t="s">
        <v>167</v>
      </c>
      <c r="B16" s="4" t="s">
        <v>168</v>
      </c>
      <c r="C16" s="4" t="s">
        <v>169</v>
      </c>
      <c r="D16" s="4" t="s">
        <v>88</v>
      </c>
      <c r="E16" s="7" t="str">
        <f>VLOOKUP(municipio!$D16,departamento!$A$1:$E$28,2,FALSE)</f>
        <v>Normandía</v>
      </c>
    </row>
    <row r="17" spans="1:5">
      <c r="A17" s="31" t="s">
        <v>170</v>
      </c>
      <c r="B17" s="4" t="s">
        <v>171</v>
      </c>
      <c r="C17" s="4" t="s">
        <v>172</v>
      </c>
      <c r="D17" s="4" t="s">
        <v>91</v>
      </c>
      <c r="E17" s="7" t="str">
        <f>VLOOKUP(municipio!$D17,departamento!$A$1:$E$28,2,FALSE)</f>
        <v>Baviera</v>
      </c>
    </row>
    <row r="18" spans="1:5">
      <c r="A18" s="31" t="s">
        <v>173</v>
      </c>
      <c r="B18" s="4" t="s">
        <v>403</v>
      </c>
      <c r="C18" s="4" t="s">
        <v>174</v>
      </c>
      <c r="D18" s="4" t="s">
        <v>94</v>
      </c>
      <c r="E18" s="7" t="str">
        <f>VLOOKUP(municipio!$D18,departamento!$A$1:$E$28,2,FALSE)</f>
        <v>bremen</v>
      </c>
    </row>
    <row r="19" spans="1:5">
      <c r="A19" s="31" t="s">
        <v>175</v>
      </c>
      <c r="B19" s="4" t="s">
        <v>176</v>
      </c>
      <c r="C19" s="4" t="s">
        <v>177</v>
      </c>
      <c r="D19" s="4" t="s">
        <v>95</v>
      </c>
      <c r="E19" s="7" t="str">
        <f>VLOOKUP(municipio!$D19,departamento!$A$1:$E$28,2,FALSE)</f>
        <v>Sajonia</v>
      </c>
    </row>
    <row r="20" spans="1:5">
      <c r="A20" s="31" t="s">
        <v>178</v>
      </c>
      <c r="B20" s="4" t="s">
        <v>179</v>
      </c>
      <c r="C20" s="4" t="s">
        <v>180</v>
      </c>
      <c r="D20" s="4" t="s">
        <v>98</v>
      </c>
      <c r="E20" s="7" t="str">
        <f>VLOOKUP(municipio!$D20,departamento!$A$1:$E$28,2,FALSE)</f>
        <v>Guangdong</v>
      </c>
    </row>
    <row r="21" spans="1:5">
      <c r="A21" s="31" t="s">
        <v>181</v>
      </c>
      <c r="B21" s="4" t="s">
        <v>182</v>
      </c>
      <c r="C21" s="4" t="s">
        <v>183</v>
      </c>
      <c r="D21" s="4" t="s">
        <v>101</v>
      </c>
      <c r="E21" s="7" t="str">
        <f>VLOOKUP(municipio!$D21,departamento!$A$1:$E$28,2,FALSE)</f>
        <v>Beijing</v>
      </c>
    </row>
    <row r="22" spans="1:5">
      <c r="A22" s="31" t="s">
        <v>184</v>
      </c>
      <c r="B22" s="4" t="s">
        <v>185</v>
      </c>
      <c r="C22" s="4" t="s">
        <v>186</v>
      </c>
      <c r="D22" s="4" t="s">
        <v>104</v>
      </c>
      <c r="E22" s="7" t="str">
        <f>VLOOKUP(municipio!$D22,departamento!$A$1:$E$28,2,FALSE)</f>
        <v>Shanghái</v>
      </c>
    </row>
    <row r="23" spans="1:5">
      <c r="A23" s="31" t="s">
        <v>187</v>
      </c>
      <c r="B23" s="4" t="s">
        <v>188</v>
      </c>
      <c r="C23" s="4" t="s">
        <v>189</v>
      </c>
      <c r="D23" s="4" t="s">
        <v>107</v>
      </c>
      <c r="E23" s="7" t="str">
        <f>VLOOKUP(municipio!$D23,departamento!$A$1:$E$28,2,FALSE)</f>
        <v>Tokio</v>
      </c>
    </row>
    <row r="24" spans="1:5">
      <c r="A24" s="31" t="s">
        <v>190</v>
      </c>
      <c r="B24" s="4" t="s">
        <v>191</v>
      </c>
      <c r="C24" s="4" t="s">
        <v>192</v>
      </c>
      <c r="D24" s="4" t="s">
        <v>110</v>
      </c>
      <c r="E24" s="7" t="str">
        <f>VLOOKUP(municipio!$D24,departamento!$A$1:$E$28,2,FALSE)</f>
        <v>Osaka</v>
      </c>
    </row>
    <row r="25" spans="1:5">
      <c r="A25" s="31" t="s">
        <v>193</v>
      </c>
      <c r="B25" s="4" t="s">
        <v>194</v>
      </c>
      <c r="C25" s="4" t="s">
        <v>195</v>
      </c>
      <c r="D25" s="4" t="s">
        <v>113</v>
      </c>
      <c r="E25" s="7" t="str">
        <f>VLOOKUP(municipio!$D25,departamento!$A$1:$E$28,2,FALSE)</f>
        <v>Hokkaido</v>
      </c>
    </row>
    <row r="26" spans="1:5">
      <c r="A26" s="31" t="s">
        <v>196</v>
      </c>
      <c r="B26" s="4" t="s">
        <v>197</v>
      </c>
      <c r="C26" s="4" t="s">
        <v>198</v>
      </c>
      <c r="D26" s="4" t="s">
        <v>116</v>
      </c>
      <c r="E26" s="7" t="str">
        <f>VLOOKUP(municipio!$D26,departamento!$A$1:$E$28,2,FALSE)</f>
        <v>Maharashtra</v>
      </c>
    </row>
    <row r="27" spans="1:5">
      <c r="A27" s="31" t="s">
        <v>199</v>
      </c>
      <c r="B27" s="4" t="s">
        <v>200</v>
      </c>
      <c r="C27" s="4" t="s">
        <v>201</v>
      </c>
      <c r="D27" s="4" t="s">
        <v>119</v>
      </c>
      <c r="E27" s="7" t="str">
        <f>VLOOKUP(municipio!$D27,departamento!$A$1:$E$28,2,FALSE)</f>
        <v>Delhi</v>
      </c>
    </row>
    <row r="28" spans="1:5">
      <c r="A28" s="32" t="s">
        <v>202</v>
      </c>
      <c r="B28" s="5" t="s">
        <v>203</v>
      </c>
      <c r="C28" s="5" t="s">
        <v>204</v>
      </c>
      <c r="D28" s="5" t="s">
        <v>122</v>
      </c>
      <c r="E28" s="8" t="str">
        <f>VLOOKUP(municipio!$D28,departamento!$A$1:$E$28,2,FALSE)</f>
        <v>Karnataka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A2" sqref="A2:A28"/>
    </sheetView>
  </sheetViews>
  <sheetFormatPr baseColWidth="10" defaultRowHeight="14.25"/>
  <cols>
    <col min="2" max="2" width="17.5" customWidth="1"/>
    <col min="3" max="3" width="56.875" bestFit="1" customWidth="1"/>
    <col min="5" max="5" width="15.25" customWidth="1"/>
  </cols>
  <sheetData>
    <row r="1" spans="1:7">
      <c r="A1" s="22" t="s">
        <v>393</v>
      </c>
      <c r="B1" s="23" t="s">
        <v>1</v>
      </c>
      <c r="C1" s="23" t="s">
        <v>5</v>
      </c>
      <c r="D1" s="23" t="s">
        <v>7</v>
      </c>
      <c r="E1" s="24" t="s">
        <v>398</v>
      </c>
    </row>
    <row r="2" spans="1:7">
      <c r="A2" s="31" t="s">
        <v>46</v>
      </c>
      <c r="B2" s="4" t="s">
        <v>47</v>
      </c>
      <c r="C2" s="4" t="s">
        <v>48</v>
      </c>
      <c r="D2" s="4" t="s">
        <v>19</v>
      </c>
      <c r="E2" s="7" t="str">
        <f>VLOOKUP(departamento!$D2,pais!$A$1:$B$10,2,FALSE)</f>
        <v>Colombia</v>
      </c>
    </row>
    <row r="3" spans="1:7">
      <c r="A3" s="31" t="s">
        <v>49</v>
      </c>
      <c r="B3" s="4" t="s">
        <v>50</v>
      </c>
      <c r="C3" s="4" t="s">
        <v>51</v>
      </c>
      <c r="D3" s="4" t="s">
        <v>19</v>
      </c>
      <c r="E3" s="7" t="str">
        <f>VLOOKUP(departamento!$D3,pais!$A$1:$B$10,2,FALSE)</f>
        <v>Colombia</v>
      </c>
    </row>
    <row r="4" spans="1:7">
      <c r="A4" s="31" t="s">
        <v>52</v>
      </c>
      <c r="B4" s="4" t="s">
        <v>53</v>
      </c>
      <c r="C4" s="4" t="s">
        <v>54</v>
      </c>
      <c r="D4" s="4" t="s">
        <v>19</v>
      </c>
      <c r="E4" s="7" t="str">
        <f>VLOOKUP(departamento!$D4,pais!$A$1:$B$10,2,FALSE)</f>
        <v>Colombia</v>
      </c>
    </row>
    <row r="5" spans="1:7" ht="18" customHeight="1">
      <c r="A5" s="31" t="s">
        <v>55</v>
      </c>
      <c r="B5" s="4" t="s">
        <v>56</v>
      </c>
      <c r="C5" s="4" t="s">
        <v>57</v>
      </c>
      <c r="D5" s="4" t="s">
        <v>22</v>
      </c>
      <c r="E5" s="7" t="str">
        <f>VLOOKUP(departamento!$D5,pais!$A$1:$B$10,2,FALSE)</f>
        <v>Estados Unidos</v>
      </c>
    </row>
    <row r="6" spans="1:7" ht="16.5" customHeight="1">
      <c r="A6" s="31" t="s">
        <v>58</v>
      </c>
      <c r="B6" s="4" t="s">
        <v>59</v>
      </c>
      <c r="C6" s="4" t="s">
        <v>60</v>
      </c>
      <c r="D6" s="4" t="s">
        <v>22</v>
      </c>
      <c r="E6" s="7" t="str">
        <f>VLOOKUP(departamento!$D6,pais!$A$1:$B$10,2,FALSE)</f>
        <v>Estados Unidos</v>
      </c>
    </row>
    <row r="7" spans="1:7" ht="19.5" customHeight="1">
      <c r="A7" s="31" t="s">
        <v>61</v>
      </c>
      <c r="B7" s="4" t="s">
        <v>62</v>
      </c>
      <c r="C7" s="4" t="s">
        <v>63</v>
      </c>
      <c r="D7" s="4" t="s">
        <v>22</v>
      </c>
      <c r="E7" s="7" t="str">
        <f>VLOOKUP(departamento!$D7,pais!$A$1:$B$10,2,FALSE)</f>
        <v>Estados Unidos</v>
      </c>
      <c r="G7" s="4"/>
    </row>
    <row r="8" spans="1:7">
      <c r="A8" s="31" t="s">
        <v>64</v>
      </c>
      <c r="B8" s="4" t="s">
        <v>65</v>
      </c>
      <c r="C8" s="4" t="s">
        <v>66</v>
      </c>
      <c r="D8" s="4" t="s">
        <v>25</v>
      </c>
      <c r="E8" s="7" t="str">
        <f>VLOOKUP(departamento!$D8,pais!$A$1:$B$10,2,FALSE)</f>
        <v>Brasil</v>
      </c>
    </row>
    <row r="9" spans="1:7">
      <c r="A9" s="31" t="s">
        <v>67</v>
      </c>
      <c r="B9" s="4" t="s">
        <v>68</v>
      </c>
      <c r="C9" s="4" t="s">
        <v>69</v>
      </c>
      <c r="D9" s="4" t="s">
        <v>25</v>
      </c>
      <c r="E9" s="7" t="str">
        <f>VLOOKUP(departamento!$D9,pais!$A$1:$B$10,2,FALSE)</f>
        <v>Brasil</v>
      </c>
    </row>
    <row r="10" spans="1:7">
      <c r="A10" s="31" t="s">
        <v>70</v>
      </c>
      <c r="B10" s="4" t="s">
        <v>71</v>
      </c>
      <c r="C10" s="4" t="s">
        <v>72</v>
      </c>
      <c r="D10" s="4" t="s">
        <v>25</v>
      </c>
      <c r="E10" s="7" t="str">
        <f>VLOOKUP(departamento!$D10,pais!$A$1:$B$10,2,FALSE)</f>
        <v>Brasil</v>
      </c>
    </row>
    <row r="11" spans="1:7">
      <c r="A11" s="31" t="s">
        <v>73</v>
      </c>
      <c r="B11" s="4" t="s">
        <v>74</v>
      </c>
      <c r="C11" s="4" t="s">
        <v>75</v>
      </c>
      <c r="D11" s="4" t="s">
        <v>28</v>
      </c>
      <c r="E11" s="7" t="str">
        <f>VLOOKUP(departamento!$D11,pais!$A$1:$B$10,2,FALSE)</f>
        <v>España</v>
      </c>
    </row>
    <row r="12" spans="1:7">
      <c r="A12" s="31" t="s">
        <v>76</v>
      </c>
      <c r="B12" s="4" t="s">
        <v>77</v>
      </c>
      <c r="C12" s="4" t="s">
        <v>78</v>
      </c>
      <c r="D12" s="4" t="s">
        <v>28</v>
      </c>
      <c r="E12" s="7" t="str">
        <f>VLOOKUP(departamento!$D12,pais!$A$1:$B$10,2,FALSE)</f>
        <v>España</v>
      </c>
    </row>
    <row r="13" spans="1:7">
      <c r="A13" s="31" t="s">
        <v>79</v>
      </c>
      <c r="B13" s="4" t="s">
        <v>80</v>
      </c>
      <c r="C13" s="4" t="s">
        <v>81</v>
      </c>
      <c r="D13" s="4" t="s">
        <v>28</v>
      </c>
      <c r="E13" s="7" t="str">
        <f>VLOOKUP(departamento!$D13,pais!$A$1:$B$10,2,FALSE)</f>
        <v>España</v>
      </c>
    </row>
    <row r="14" spans="1:7">
      <c r="A14" s="31" t="s">
        <v>82</v>
      </c>
      <c r="B14" s="4" t="s">
        <v>83</v>
      </c>
      <c r="C14" s="4" t="s">
        <v>84</v>
      </c>
      <c r="D14" s="4" t="s">
        <v>31</v>
      </c>
      <c r="E14" s="7" t="str">
        <f>VLOOKUP(departamento!$D14,pais!$A$1:$B$10,2,FALSE)</f>
        <v>Francia</v>
      </c>
    </row>
    <row r="15" spans="1:7">
      <c r="A15" s="31" t="s">
        <v>85</v>
      </c>
      <c r="B15" s="4" t="s">
        <v>86</v>
      </c>
      <c r="C15" s="4" t="s">
        <v>87</v>
      </c>
      <c r="D15" s="4" t="s">
        <v>31</v>
      </c>
      <c r="E15" s="7" t="str">
        <f>VLOOKUP(departamento!$D15,pais!$A$1:$B$10,2,FALSE)</f>
        <v>Francia</v>
      </c>
    </row>
    <row r="16" spans="1:7">
      <c r="A16" s="31" t="s">
        <v>88</v>
      </c>
      <c r="B16" s="4" t="s">
        <v>89</v>
      </c>
      <c r="C16" s="4" t="s">
        <v>90</v>
      </c>
      <c r="D16" s="4" t="s">
        <v>31</v>
      </c>
      <c r="E16" s="7" t="str">
        <f>VLOOKUP(departamento!$D16,pais!$A$1:$B$10,2,FALSE)</f>
        <v>Francia</v>
      </c>
    </row>
    <row r="17" spans="1:6">
      <c r="A17" s="31" t="s">
        <v>91</v>
      </c>
      <c r="B17" s="4" t="s">
        <v>92</v>
      </c>
      <c r="C17" s="4" t="s">
        <v>93</v>
      </c>
      <c r="D17" s="4" t="s">
        <v>34</v>
      </c>
      <c r="E17" s="7" t="str">
        <f>VLOOKUP(departamento!$D17,pais!$A$1:$B$10,2,FALSE)</f>
        <v>Alemania</v>
      </c>
    </row>
    <row r="18" spans="1:6">
      <c r="A18" s="31" t="s">
        <v>94</v>
      </c>
      <c r="B18" s="6" t="s">
        <v>401</v>
      </c>
      <c r="C18" s="4" t="s">
        <v>402</v>
      </c>
      <c r="D18" s="4" t="s">
        <v>34</v>
      </c>
      <c r="E18" s="7" t="str">
        <f>VLOOKUP(departamento!$D18,pais!$A$1:$B$10,2,FALSE)</f>
        <v>Alemania</v>
      </c>
    </row>
    <row r="19" spans="1:6">
      <c r="A19" s="31" t="s">
        <v>95</v>
      </c>
      <c r="B19" s="4" t="s">
        <v>96</v>
      </c>
      <c r="C19" s="4" t="s">
        <v>97</v>
      </c>
      <c r="D19" s="4" t="s">
        <v>34</v>
      </c>
      <c r="E19" s="7" t="str">
        <f>VLOOKUP(departamento!$D19,pais!$A$1:$B$10,2,FALSE)</f>
        <v>Alemania</v>
      </c>
    </row>
    <row r="20" spans="1:6">
      <c r="A20" s="31" t="s">
        <v>98</v>
      </c>
      <c r="B20" s="4" t="s">
        <v>99</v>
      </c>
      <c r="C20" s="4" t="s">
        <v>100</v>
      </c>
      <c r="D20" s="4" t="s">
        <v>37</v>
      </c>
      <c r="E20" s="7" t="str">
        <f>VLOOKUP(departamento!$D20,pais!$A$1:$B$10,2,FALSE)</f>
        <v>China</v>
      </c>
    </row>
    <row r="21" spans="1:6">
      <c r="A21" s="31" t="s">
        <v>101</v>
      </c>
      <c r="B21" s="4" t="s">
        <v>102</v>
      </c>
      <c r="C21" s="4" t="s">
        <v>103</v>
      </c>
      <c r="D21" s="4" t="s">
        <v>37</v>
      </c>
      <c r="E21" s="7" t="str">
        <f>VLOOKUP(departamento!$D21,pais!$A$1:$B$10,2,FALSE)</f>
        <v>China</v>
      </c>
    </row>
    <row r="22" spans="1:6">
      <c r="A22" s="31" t="s">
        <v>104</v>
      </c>
      <c r="B22" s="4" t="s">
        <v>105</v>
      </c>
      <c r="C22" s="4" t="s">
        <v>106</v>
      </c>
      <c r="D22" s="4" t="s">
        <v>37</v>
      </c>
      <c r="E22" s="7" t="str">
        <f>VLOOKUP(departamento!$D22,pais!$A$1:$B$10,2,FALSE)</f>
        <v>China</v>
      </c>
    </row>
    <row r="23" spans="1:6">
      <c r="A23" s="31" t="s">
        <v>107</v>
      </c>
      <c r="B23" s="4" t="s">
        <v>108</v>
      </c>
      <c r="C23" s="4" t="s">
        <v>109</v>
      </c>
      <c r="D23" s="4" t="s">
        <v>40</v>
      </c>
      <c r="E23" s="7" t="str">
        <f>VLOOKUP(departamento!$D23,pais!$A$1:$B$10,2,FALSE)</f>
        <v>Japón</v>
      </c>
    </row>
    <row r="24" spans="1:6">
      <c r="A24" s="31" t="s">
        <v>110</v>
      </c>
      <c r="B24" s="4" t="s">
        <v>111</v>
      </c>
      <c r="C24" s="4" t="s">
        <v>112</v>
      </c>
      <c r="D24" s="4" t="s">
        <v>40</v>
      </c>
      <c r="E24" s="7" t="str">
        <f>VLOOKUP(departamento!$D24,pais!$A$1:$B$10,2,FALSE)</f>
        <v>Japón</v>
      </c>
    </row>
    <row r="25" spans="1:6">
      <c r="A25" s="31" t="s">
        <v>113</v>
      </c>
      <c r="B25" s="4" t="s">
        <v>114</v>
      </c>
      <c r="C25" s="4" t="s">
        <v>115</v>
      </c>
      <c r="D25" s="4" t="s">
        <v>40</v>
      </c>
      <c r="E25" s="7" t="str">
        <f>VLOOKUP(departamento!$D25,pais!$A$1:$B$10,2,FALSE)</f>
        <v>Japón</v>
      </c>
    </row>
    <row r="26" spans="1:6">
      <c r="A26" s="31" t="s">
        <v>116</v>
      </c>
      <c r="B26" s="4" t="s">
        <v>117</v>
      </c>
      <c r="C26" s="4" t="s">
        <v>118</v>
      </c>
      <c r="D26" s="4" t="s">
        <v>43</v>
      </c>
      <c r="E26" s="7" t="str">
        <f>VLOOKUP(departamento!$D26,pais!$A$1:$B$10,2,FALSE)</f>
        <v>India</v>
      </c>
    </row>
    <row r="27" spans="1:6">
      <c r="A27" s="31" t="s">
        <v>119</v>
      </c>
      <c r="B27" s="4" t="s">
        <v>120</v>
      </c>
      <c r="C27" s="4" t="s">
        <v>121</v>
      </c>
      <c r="D27" s="4" t="s">
        <v>43</v>
      </c>
      <c r="E27" s="7" t="str">
        <f>VLOOKUP(departamento!$D27,pais!$A$1:$B$10,2,FALSE)</f>
        <v>India</v>
      </c>
    </row>
    <row r="28" spans="1:6">
      <c r="A28" s="32" t="s">
        <v>122</v>
      </c>
      <c r="B28" s="5" t="s">
        <v>123</v>
      </c>
      <c r="C28" s="5" t="s">
        <v>124</v>
      </c>
      <c r="D28" s="5" t="s">
        <v>43</v>
      </c>
      <c r="E28" s="8" t="str">
        <f>VLOOKUP(departamento!$D28,pais!$A$1:$B$10,2,FALSE)</f>
        <v>India</v>
      </c>
    </row>
    <row r="29" spans="1:6">
      <c r="A29" s="12"/>
      <c r="B29" s="12"/>
      <c r="C29" s="12"/>
      <c r="D29" s="12"/>
      <c r="E29" s="12"/>
      <c r="F29" s="13"/>
    </row>
    <row r="30" spans="1:6">
      <c r="A30" s="12"/>
      <c r="B30" s="12"/>
      <c r="C30" s="12"/>
      <c r="D30" s="12"/>
      <c r="E30" s="12"/>
      <c r="F30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10" sqref="A2:A10"/>
    </sheetView>
  </sheetViews>
  <sheetFormatPr baseColWidth="10" defaultRowHeight="14.25"/>
  <cols>
    <col min="2" max="2" width="13.75" bestFit="1" customWidth="1"/>
    <col min="3" max="3" width="77" customWidth="1"/>
    <col min="4" max="4" width="14.875" customWidth="1"/>
    <col min="5" max="5" width="11.5" customWidth="1"/>
  </cols>
  <sheetData>
    <row r="1" spans="1:5">
      <c r="A1" s="22" t="s">
        <v>394</v>
      </c>
      <c r="B1" s="23" t="s">
        <v>1</v>
      </c>
      <c r="C1" s="23" t="s">
        <v>5</v>
      </c>
      <c r="D1" s="23" t="s">
        <v>6</v>
      </c>
      <c r="E1" s="24" t="s">
        <v>397</v>
      </c>
    </row>
    <row r="2" spans="1:5" ht="20.25" customHeight="1">
      <c r="A2" s="31" t="s">
        <v>19</v>
      </c>
      <c r="B2" s="4" t="s">
        <v>20</v>
      </c>
      <c r="C2" s="4" t="s">
        <v>21</v>
      </c>
      <c r="D2" s="4" t="s">
        <v>10</v>
      </c>
      <c r="E2" s="7" t="str">
        <f>VLOOKUP(pais!$D2,continente!$A$1:$B$4,2,FALSE)</f>
        <v>América</v>
      </c>
    </row>
    <row r="3" spans="1:5" ht="18" customHeight="1">
      <c r="A3" s="31" t="s">
        <v>22</v>
      </c>
      <c r="B3" s="4" t="s">
        <v>23</v>
      </c>
      <c r="C3" s="4" t="s">
        <v>24</v>
      </c>
      <c r="D3" s="4" t="s">
        <v>10</v>
      </c>
      <c r="E3" s="7" t="str">
        <f>VLOOKUP(pais!$D3,continente!$A$1:$B$4,2,FALSE)</f>
        <v>América</v>
      </c>
    </row>
    <row r="4" spans="1:5">
      <c r="A4" s="31" t="s">
        <v>25</v>
      </c>
      <c r="B4" s="4" t="s">
        <v>26</v>
      </c>
      <c r="C4" s="4" t="s">
        <v>27</v>
      </c>
      <c r="D4" s="4" t="s">
        <v>10</v>
      </c>
      <c r="E4" s="7" t="str">
        <f>VLOOKUP(pais!$D4,continente!$A$1:$B$4,2,FALSE)</f>
        <v>América</v>
      </c>
    </row>
    <row r="5" spans="1:5">
      <c r="A5" s="31" t="s">
        <v>28</v>
      </c>
      <c r="B5" s="4" t="s">
        <v>29</v>
      </c>
      <c r="C5" s="4" t="s">
        <v>30</v>
      </c>
      <c r="D5" s="4" t="s">
        <v>13</v>
      </c>
      <c r="E5" s="7" t="str">
        <f>VLOOKUP(pais!$D5,continente!$A$1:$B$4,2,FALSE)</f>
        <v>Europa</v>
      </c>
    </row>
    <row r="6" spans="1:5">
      <c r="A6" s="31" t="s">
        <v>31</v>
      </c>
      <c r="B6" s="4" t="s">
        <v>32</v>
      </c>
      <c r="C6" s="4" t="s">
        <v>33</v>
      </c>
      <c r="D6" s="4" t="s">
        <v>13</v>
      </c>
      <c r="E6" s="7" t="str">
        <f>VLOOKUP(pais!$D6,continente!$A$1:$B$4,2,FALSE)</f>
        <v>Europa</v>
      </c>
    </row>
    <row r="7" spans="1:5">
      <c r="A7" s="31" t="s">
        <v>34</v>
      </c>
      <c r="B7" s="4" t="s">
        <v>35</v>
      </c>
      <c r="C7" s="4" t="s">
        <v>36</v>
      </c>
      <c r="D7" s="4" t="s">
        <v>13</v>
      </c>
      <c r="E7" s="7" t="str">
        <f>VLOOKUP(pais!$D7,continente!$A$1:$B$4,2,FALSE)</f>
        <v>Europa</v>
      </c>
    </row>
    <row r="8" spans="1:5">
      <c r="A8" s="31" t="s">
        <v>37</v>
      </c>
      <c r="B8" s="4" t="s">
        <v>38</v>
      </c>
      <c r="C8" s="4" t="s">
        <v>39</v>
      </c>
      <c r="D8" s="4" t="s">
        <v>16</v>
      </c>
      <c r="E8" s="8" t="str">
        <f>VLOOKUP(pais!$D8,continente!$A$1:$B$4,2,FALSE)</f>
        <v>Asia</v>
      </c>
    </row>
    <row r="9" spans="1:5">
      <c r="A9" s="31" t="s">
        <v>40</v>
      </c>
      <c r="B9" s="4" t="s">
        <v>41</v>
      </c>
      <c r="C9" s="4" t="s">
        <v>42</v>
      </c>
      <c r="D9" s="4" t="s">
        <v>16</v>
      </c>
      <c r="E9" s="8" t="str">
        <f>VLOOKUP(pais!$D9,continente!$A$1:$B$4,2,FALSE)</f>
        <v>Asia</v>
      </c>
    </row>
    <row r="10" spans="1:5">
      <c r="A10" s="32" t="s">
        <v>43</v>
      </c>
      <c r="B10" s="5" t="s">
        <v>44</v>
      </c>
      <c r="C10" s="5" t="s">
        <v>45</v>
      </c>
      <c r="D10" s="5" t="s">
        <v>16</v>
      </c>
      <c r="E10" s="8" t="str">
        <f>VLOOKUP(pais!$D10,continente!$A$1:$B$4,2,FALSE)</f>
        <v>Asia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7" sqref="C17"/>
    </sheetView>
  </sheetViews>
  <sheetFormatPr baseColWidth="10" defaultRowHeight="14.25"/>
  <cols>
    <col min="1" max="1" width="12.75" bestFit="1" customWidth="1"/>
    <col min="2" max="2" width="11.5" bestFit="1" customWidth="1"/>
    <col min="3" max="3" width="102.625" customWidth="1"/>
  </cols>
  <sheetData>
    <row r="1" spans="1:3">
      <c r="A1" s="25" t="s">
        <v>396</v>
      </c>
      <c r="B1" s="25" t="s">
        <v>1</v>
      </c>
      <c r="C1" s="25" t="s">
        <v>5</v>
      </c>
    </row>
    <row r="2" spans="1:3" ht="28.5">
      <c r="A2" s="17" t="s">
        <v>10</v>
      </c>
      <c r="B2" s="4" t="s">
        <v>11</v>
      </c>
      <c r="C2" s="4" t="s">
        <v>12</v>
      </c>
    </row>
    <row r="3" spans="1:3" ht="28.5">
      <c r="A3" s="17" t="s">
        <v>13</v>
      </c>
      <c r="B3" s="4" t="s">
        <v>14</v>
      </c>
      <c r="C3" s="4" t="s">
        <v>15</v>
      </c>
    </row>
    <row r="4" spans="1:3">
      <c r="A4" s="17" t="s">
        <v>16</v>
      </c>
      <c r="B4" s="4" t="s">
        <v>17</v>
      </c>
      <c r="C4" s="4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D18" sqref="D18"/>
    </sheetView>
  </sheetViews>
  <sheetFormatPr baseColWidth="10" defaultRowHeight="14.25"/>
  <cols>
    <col min="1" max="1" width="15.125" bestFit="1" customWidth="1"/>
    <col min="2" max="2" width="24.375" bestFit="1" customWidth="1"/>
    <col min="3" max="3" width="12.125" bestFit="1" customWidth="1"/>
    <col min="4" max="4" width="12" bestFit="1" customWidth="1"/>
    <col min="5" max="5" width="12.125" bestFit="1" customWidth="1"/>
    <col min="6" max="6" width="13.375" bestFit="1" customWidth="1"/>
    <col min="7" max="7" width="16.625" customWidth="1"/>
  </cols>
  <sheetData>
    <row r="1" spans="1:9">
      <c r="A1" s="26" t="s">
        <v>387</v>
      </c>
      <c r="B1" s="26"/>
      <c r="C1" s="26" t="s">
        <v>4</v>
      </c>
      <c r="D1" s="26"/>
      <c r="E1" s="26"/>
      <c r="F1" s="26" t="s">
        <v>404</v>
      </c>
      <c r="G1" s="26"/>
      <c r="H1" s="26"/>
      <c r="I1" s="26"/>
    </row>
    <row r="2" spans="1:9">
      <c r="A2" s="27" t="s">
        <v>0</v>
      </c>
      <c r="B2" s="28" t="s">
        <v>395</v>
      </c>
      <c r="C2" s="28" t="s">
        <v>405</v>
      </c>
      <c r="D2" s="28" t="s">
        <v>388</v>
      </c>
      <c r="E2" s="28" t="s">
        <v>389</v>
      </c>
      <c r="F2" s="28" t="s">
        <v>406</v>
      </c>
      <c r="G2" s="28" t="s">
        <v>405</v>
      </c>
      <c r="H2" s="28" t="s">
        <v>388</v>
      </c>
      <c r="I2" s="28" t="s">
        <v>389</v>
      </c>
    </row>
    <row r="3" spans="1:9">
      <c r="A3" s="29" t="s">
        <v>19</v>
      </c>
      <c r="B3" s="6" t="str">
        <f>VLOOKUP('estado del pedido'!$A3,pedido!$A$1:$E$11,2,FALSE)</f>
        <v>Router TP-Link AC1200</v>
      </c>
      <c r="C3" s="6" t="str">
        <f>VLOOKUP('estado del pedido'!$A3,pedido!$A$1:$E$11,5,FALSE)</f>
        <v>Shanghái</v>
      </c>
      <c r="D3" s="6" t="str">
        <f>VLOOKUP(C3,departamento[[nombre]:[nombre_p]],4,FALSE)</f>
        <v>China</v>
      </c>
      <c r="E3" s="6" t="str">
        <f>VLOOKUP(D3,pais!$B$2:$E$10,4,FALSE)</f>
        <v>Asia</v>
      </c>
      <c r="F3" s="6" t="str">
        <f>VLOOKUP('estado del pedido'!$A3,pedido!$A$1:$E$11,3,FALSE)</f>
        <v>Salvador</v>
      </c>
      <c r="G3" s="6" t="str">
        <f>VLOOKUP(F3,municipio[[nombre]:[nombre_d]],4,FALSE)</f>
        <v>Bahía</v>
      </c>
      <c r="H3" s="6" t="str">
        <f>VLOOKUP(G3,departamento[[nombre]:[nombre_p]],4,FALSE)</f>
        <v>Brasil</v>
      </c>
      <c r="I3" s="6" t="str">
        <f>VLOOKUP(H3,pais[[nombre]:[nombre_c]],4,FALSE)</f>
        <v>América</v>
      </c>
    </row>
    <row r="4" spans="1:9">
      <c r="A4" s="29" t="s">
        <v>22</v>
      </c>
      <c r="B4" s="6" t="str">
        <f>VLOOKUP('estado del pedido'!$A4,pedido!$A$1:$E$11,2,FALSE)</f>
        <v>Monitor Samsung 24"</v>
      </c>
      <c r="C4" s="6" t="str">
        <f>VLOOKUP('estado del pedido'!$A4,pedido!$A$1:$E$11,5,FALSE)</f>
        <v>Île-de-France</v>
      </c>
      <c r="D4" s="6" t="str">
        <f>VLOOKUP(C4,departamento[[nombre]:[nombre_p]],4,FALSE)</f>
        <v>Francia</v>
      </c>
      <c r="E4" s="6" t="str">
        <f>VLOOKUP(D4,pais!$B$2:$E$10,4,FALSE)</f>
        <v>Europa</v>
      </c>
      <c r="F4" s="6" t="str">
        <f>VLOOKUP('estado del pedido'!$A4,pedido!$A$1:$E$11,3,FALSE)</f>
        <v>Caen</v>
      </c>
      <c r="G4" s="6" t="str">
        <f>VLOOKUP(F4,municipio[[nombre]:[nombre_d]],4,FALSE)</f>
        <v>Normandía</v>
      </c>
      <c r="H4" s="6" t="str">
        <f>VLOOKUP(G4,departamento[[nombre]:[nombre_p]],4,FALSE)</f>
        <v>Francia</v>
      </c>
      <c r="I4" s="6" t="str">
        <f>VLOOKUP(H4,pais[[nombre]:[nombre_c]],4,FALSE)</f>
        <v>Europa</v>
      </c>
    </row>
    <row r="5" spans="1:9">
      <c r="A5" s="29" t="s">
        <v>25</v>
      </c>
      <c r="B5" s="6" t="str">
        <f>VLOOKUP('estado del pedido'!$A5,pedido!$A$1:$E$11,2,FALSE)</f>
        <v>Teclado Mecánico Redragon</v>
      </c>
      <c r="C5" s="6" t="str">
        <f>VLOOKUP('estado del pedido'!$A5,pedido!$A$1:$E$11,5,FALSE)</f>
        <v>bremen</v>
      </c>
      <c r="D5" s="6" t="str">
        <f>VLOOKUP(C5,departamento[[nombre]:[nombre_p]],4,FALSE)</f>
        <v>Alemania</v>
      </c>
      <c r="E5" s="6" t="str">
        <f>VLOOKUP(D5,pais!$B$2:$E$10,4,FALSE)</f>
        <v>Europa</v>
      </c>
      <c r="F5" s="6" t="str">
        <f>VLOOKUP('estado del pedido'!$A5,pedido!$A$1:$E$11,3,FALSE)</f>
        <v>Bremen Centro</v>
      </c>
      <c r="G5" s="6" t="str">
        <f>VLOOKUP(F5,municipio[[nombre]:[nombre_d]],4,FALSE)</f>
        <v>bremen</v>
      </c>
      <c r="H5" s="6" t="str">
        <f>VLOOKUP(G5,departamento[[nombre]:[nombre_p]],4,FALSE)</f>
        <v>Alemania</v>
      </c>
      <c r="I5" s="6" t="str">
        <f>VLOOKUP(H5,pais[[nombre]:[nombre_c]],4,FALSE)</f>
        <v>Europa</v>
      </c>
    </row>
    <row r="6" spans="1:9">
      <c r="A6" s="29" t="s">
        <v>28</v>
      </c>
      <c r="B6" s="6" t="str">
        <f>VLOOKUP('estado del pedido'!$A6,pedido!$A$1:$E$11,2,FALSE)</f>
        <v>Memoria RAM 16GB Corsair</v>
      </c>
      <c r="C6" s="6" t="str">
        <f>VLOOKUP('estado del pedido'!$A6,pedido!$A$1:$E$11,5,FALSE)</f>
        <v>Tokio</v>
      </c>
      <c r="D6" s="6" t="str">
        <f>VLOOKUP(C6,departamento[[nombre]:[nombre_p]],4,FALSE)</f>
        <v>Japón</v>
      </c>
      <c r="E6" s="6" t="str">
        <f>VLOOKUP(D6,pais!$B$2:$E$10,4,FALSE)</f>
        <v>Asia</v>
      </c>
      <c r="F6" s="6" t="str">
        <f>VLOOKUP('estado del pedido'!$A6,pedido!$A$1:$E$11,3,FALSE)</f>
        <v>Pune</v>
      </c>
      <c r="G6" s="6" t="str">
        <f>VLOOKUP(F6,municipio[[nombre]:[nombre_d]],4,FALSE)</f>
        <v>Maharashtra</v>
      </c>
      <c r="H6" s="6" t="str">
        <f>VLOOKUP(G6,departamento[[nombre]:[nombre_p]],4,FALSE)</f>
        <v>India</v>
      </c>
      <c r="I6" s="6" t="str">
        <f>VLOOKUP(H6,pais[[nombre]:[nombre_c]],4,FALSE)</f>
        <v>Asia</v>
      </c>
    </row>
    <row r="7" spans="1:9">
      <c r="A7" s="29" t="s">
        <v>31</v>
      </c>
      <c r="B7" s="6" t="str">
        <f>VLOOKUP('estado del pedido'!$A7,pedido!$A$1:$E$11,2,FALSE)</f>
        <v>Audífonos Sony Bluetooth</v>
      </c>
      <c r="C7" s="6" t="str">
        <f>VLOOKUP('estado del pedido'!$A7,pedido!$A$1:$E$11,5,FALSE)</f>
        <v>São Paulo</v>
      </c>
      <c r="D7" s="6" t="str">
        <f>VLOOKUP(C7,departamento[[nombre]:[nombre_p]],4,FALSE)</f>
        <v>Brasil</v>
      </c>
      <c r="E7" s="6" t="str">
        <f>VLOOKUP(D7,pais!$B$2:$E$10,4,FALSE)</f>
        <v>América</v>
      </c>
      <c r="F7" s="6" t="str">
        <f>VLOOKUP('estado del pedido'!$A7,pedido!$A$1:$E$11,3,FALSE)</f>
        <v>Pudong</v>
      </c>
      <c r="G7" s="6" t="str">
        <f>VLOOKUP(F7,municipio[[nombre]:[nombre_d]],4,FALSE)</f>
        <v>Shanghái</v>
      </c>
      <c r="H7" s="6" t="str">
        <f>VLOOKUP(G7,departamento[[nombre]:[nombre_p]],4,FALSE)</f>
        <v>China</v>
      </c>
      <c r="I7" s="6" t="str">
        <f>VLOOKUP(H7,pais[[nombre]:[nombre_c]],4,FALSE)</f>
        <v>Asia</v>
      </c>
    </row>
    <row r="8" spans="1:9">
      <c r="A8" s="29" t="s">
        <v>34</v>
      </c>
      <c r="B8" s="6" t="str">
        <f>VLOOKUP('estado del pedido'!$A8,pedido!$A$1:$E$11,2,FALSE)</f>
        <v>Audífonos Sony Bluetooth</v>
      </c>
      <c r="C8" s="6" t="str">
        <f>VLOOKUP('estado del pedido'!$A8,pedido!$A$1:$E$11,5,FALSE)</f>
        <v>Madrid</v>
      </c>
      <c r="D8" s="6" t="str">
        <f>VLOOKUP(C8,departamento[[nombre]:[nombre_p]],4,FALSE)</f>
        <v>España</v>
      </c>
      <c r="E8" s="6" t="str">
        <f>VLOOKUP(D8,pais!$B$2:$E$10,4,FALSE)</f>
        <v>Europa</v>
      </c>
      <c r="F8" s="6" t="str">
        <f>VLOOKUP('estado del pedido'!$A8,pedido!$A$1:$E$11,3,FALSE)</f>
        <v>Marsella</v>
      </c>
      <c r="G8" s="6" t="str">
        <f>VLOOKUP(F8,municipio[[nombre]:[nombre_d]],4,FALSE)</f>
        <v>Provenza</v>
      </c>
      <c r="H8" s="6" t="str">
        <f>VLOOKUP(G8,departamento[[nombre]:[nombre_p]],4,FALSE)</f>
        <v>Francia</v>
      </c>
      <c r="I8" s="6" t="str">
        <f>VLOOKUP(H8,pais[[nombre]:[nombre_c]],4,FALSE)</f>
        <v>Europa</v>
      </c>
    </row>
    <row r="9" spans="1:9">
      <c r="A9" s="29" t="s">
        <v>37</v>
      </c>
      <c r="B9" s="6" t="str">
        <f>VLOOKUP('estado del pedido'!$A9,pedido!$A$1:$E$11,2,FALSE)</f>
        <v>Mouse Inalámbrico Logitech</v>
      </c>
      <c r="C9" s="6" t="str">
        <f>VLOOKUP('estado del pedido'!$A9,pedido!$A$1:$E$11,5,FALSE)</f>
        <v>Maharashtra</v>
      </c>
      <c r="D9" s="6" t="str">
        <f>VLOOKUP(C9,departamento[[nombre]:[nombre_p]],4,FALSE)</f>
        <v>India</v>
      </c>
      <c r="E9" s="6" t="str">
        <f>VLOOKUP(D9,pais!$B$2:$E$10,4,FALSE)</f>
        <v>Asia</v>
      </c>
      <c r="F9" s="6" t="str">
        <f>VLOOKUP('estado del pedido'!$A9,pedido!$A$1:$E$11,3,FALSE)</f>
        <v>Mysore</v>
      </c>
      <c r="G9" s="6" t="str">
        <f>VLOOKUP(F9,municipio[[nombre]:[nombre_d]],4,FALSE)</f>
        <v>Karnataka</v>
      </c>
      <c r="H9" s="6" t="str">
        <f>VLOOKUP(G9,departamento[[nombre]:[nombre_p]],4,FALSE)</f>
        <v>India</v>
      </c>
      <c r="I9" s="6" t="str">
        <f>VLOOKUP(H9,pais[[nombre]:[nombre_c]],4,FALSE)</f>
        <v>Asia</v>
      </c>
    </row>
    <row r="10" spans="1:9">
      <c r="A10" s="29" t="s">
        <v>40</v>
      </c>
      <c r="B10" s="6" t="str">
        <f>VLOOKUP('estado del pedido'!$A10,pedido!$A$1:$E$11,2,FALSE)</f>
        <v>Impresora HP LaserJet</v>
      </c>
      <c r="C10" s="6" t="str">
        <f>VLOOKUP('estado del pedido'!$A10,pedido!$A$1:$E$11,5,FALSE)</f>
        <v>Texas</v>
      </c>
      <c r="D10" s="6" t="str">
        <f>VLOOKUP(C10,departamento[[nombre]:[nombre_p]],4,FALSE)</f>
        <v>Estados Unidos</v>
      </c>
      <c r="E10" s="6" t="str">
        <f>VLOOKUP(D10,pais!$B$2:$E$10,4,FALSE)</f>
        <v>América</v>
      </c>
      <c r="F10" s="6" t="str">
        <f>VLOOKUP('estado del pedido'!$A10,pedido!$A$1:$E$11,3,FALSE)</f>
        <v>Leipzig</v>
      </c>
      <c r="G10" s="6" t="str">
        <f>VLOOKUP(F10,municipio[[nombre]:[nombre_d]],4,FALSE)</f>
        <v>Sajonia</v>
      </c>
      <c r="H10" s="6" t="str">
        <f>VLOOKUP(G10,departamento[[nombre]:[nombre_p]],4,FALSE)</f>
        <v>Alemania</v>
      </c>
      <c r="I10" s="6" t="str">
        <f>VLOOKUP(H10,pais[[nombre]:[nombre_c]],4,FALSE)</f>
        <v>Europa</v>
      </c>
    </row>
    <row r="11" spans="1:9">
      <c r="A11" s="29" t="s">
        <v>43</v>
      </c>
      <c r="B11" s="6" t="str">
        <f>VLOOKUP('estado del pedido'!$A11,pedido!$A$1:$E$11,2,FALSE)</f>
        <v>Mouse Inalámbrico Logitech</v>
      </c>
      <c r="C11" s="6" t="str">
        <f>VLOOKUP('estado del pedido'!$A11,pedido!$A$1:$E$11,5,FALSE)</f>
        <v>bremen</v>
      </c>
      <c r="D11" s="6" t="str">
        <f>VLOOKUP(C11,departamento[[nombre]:[nombre_p]],4,FALSE)</f>
        <v>Alemania</v>
      </c>
      <c r="E11" s="6" t="str">
        <f>VLOOKUP(D11,pais!$B$2:$E$10,4,FALSE)</f>
        <v>Europa</v>
      </c>
      <c r="F11" s="6" t="str">
        <f>VLOOKUP('estado del pedido'!$A11,pedido!$A$1:$E$11,3,FALSE)</f>
        <v>Pune</v>
      </c>
      <c r="G11" s="6" t="str">
        <f>VLOOKUP(F11,municipio[[nombre]:[nombre_d]],4,FALSE)</f>
        <v>Maharashtra</v>
      </c>
      <c r="H11" s="6" t="str">
        <f>VLOOKUP(G11,departamento[[nombre]:[nombre_p]],4,FALSE)</f>
        <v>India</v>
      </c>
      <c r="I11" s="6" t="str">
        <f>VLOOKUP(H11,pais[[nombre]:[nombre_c]],4,FALSE)</f>
        <v>Asia</v>
      </c>
    </row>
    <row r="12" spans="1:9">
      <c r="A12" s="30" t="s">
        <v>375</v>
      </c>
      <c r="B12" s="6" t="str">
        <f>VLOOKUP('estado del pedido'!$A12,pedido!$A$1:$E$11,2,FALSE)</f>
        <v>Impresora HP LaserJet</v>
      </c>
      <c r="C12" s="6" t="str">
        <f>VLOOKUP('estado del pedido'!$A12,pedido!$A$1:$E$11,5,FALSE)</f>
        <v>Baviera</v>
      </c>
      <c r="D12" s="6" t="str">
        <f>VLOOKUP(C12,departamento[[nombre]:[nombre_p]],4,FALSE)</f>
        <v>Alemania</v>
      </c>
      <c r="E12" s="6" t="str">
        <f>VLOOKUP(D12,pais!$B$2:$E$10,4,FALSE)</f>
        <v>Europa</v>
      </c>
      <c r="F12" s="6" t="str">
        <f>VLOOKUP('estado del pedido'!$A12,pedido!$A$1:$E$11,3,FALSE)</f>
        <v>Soacha</v>
      </c>
      <c r="G12" s="6" t="str">
        <f>VLOOKUP(F12,municipio[[nombre]:[nombre_d]],4,FALSE)</f>
        <v>Cundinamarca</v>
      </c>
      <c r="H12" s="6" t="str">
        <f>VLOOKUP(G12,departamento[[nombre]:[nombre_p]],4,FALSE)</f>
        <v>Colombia</v>
      </c>
      <c r="I12" s="6" t="str">
        <f>VLOOKUP(H12,pais[[nombre]:[nombre_c]],4,FALSE)</f>
        <v>América</v>
      </c>
    </row>
    <row r="13" spans="1:9">
      <c r="G13" s="13"/>
    </row>
    <row r="17" spans="2:10">
      <c r="B17" s="13"/>
      <c r="C17" s="13"/>
      <c r="D17" s="13"/>
      <c r="E17" s="13"/>
      <c r="F17" s="13"/>
      <c r="G17" s="13"/>
      <c r="H17" s="13"/>
      <c r="I17" s="13"/>
      <c r="J17" s="13"/>
    </row>
    <row r="18" spans="2:10">
      <c r="B18" s="13"/>
      <c r="C18" s="9"/>
      <c r="D18" s="9"/>
      <c r="E18" s="9"/>
      <c r="F18" s="9"/>
      <c r="G18" s="9"/>
      <c r="H18" s="9"/>
      <c r="I18" s="9"/>
      <c r="J18" s="9"/>
    </row>
    <row r="19" spans="2:10">
      <c r="B19" s="13"/>
      <c r="C19" s="13"/>
      <c r="D19" s="13"/>
      <c r="E19" s="13"/>
      <c r="F19" s="13"/>
      <c r="G19" s="13"/>
      <c r="H19" s="13"/>
      <c r="I19" s="13"/>
      <c r="J19" s="13"/>
    </row>
    <row r="20" spans="2:10">
      <c r="B20" s="13"/>
      <c r="C20" s="13"/>
      <c r="D20" s="13"/>
      <c r="E20" s="13"/>
      <c r="F20" s="13"/>
      <c r="G20" s="13"/>
      <c r="H20" s="13"/>
      <c r="I20" s="13"/>
      <c r="J20" s="13"/>
    </row>
    <row r="21" spans="2:10">
      <c r="B21" s="13"/>
      <c r="C21" s="13"/>
      <c r="D21" s="13"/>
      <c r="E21" s="13"/>
      <c r="F21" s="13"/>
      <c r="G21" s="13"/>
      <c r="H21" s="13"/>
      <c r="I21" s="13"/>
      <c r="J21" s="13"/>
    </row>
    <row r="22" spans="2:10">
      <c r="B22" s="13"/>
      <c r="C22" s="13"/>
      <c r="D22" s="13"/>
      <c r="E22" s="13"/>
      <c r="F22" s="13"/>
      <c r="G22" s="13"/>
      <c r="H22" s="13"/>
      <c r="I22" s="13"/>
      <c r="J22" s="13"/>
    </row>
    <row r="23" spans="2:10">
      <c r="B23" s="13"/>
      <c r="C23" s="13"/>
      <c r="D23" s="13"/>
      <c r="E23" s="13"/>
      <c r="F23" s="13"/>
      <c r="G23" s="13"/>
      <c r="H23" s="13"/>
      <c r="I23" s="13"/>
      <c r="J23" s="13"/>
    </row>
    <row r="24" spans="2:10">
      <c r="B24" s="13"/>
      <c r="C24" s="13"/>
      <c r="D24" s="13"/>
      <c r="E24" s="13"/>
      <c r="F24" s="13"/>
      <c r="G24" s="13"/>
      <c r="H24" s="13"/>
      <c r="I24" s="13"/>
      <c r="J24" s="13"/>
    </row>
    <row r="25" spans="2:10">
      <c r="B25" s="13"/>
      <c r="C25" s="13"/>
      <c r="D25" s="13"/>
      <c r="E25" s="13"/>
      <c r="F25" s="13"/>
      <c r="G25" s="13"/>
      <c r="H25" s="13"/>
      <c r="I25" s="13"/>
      <c r="J25" s="13"/>
    </row>
    <row r="26" spans="2:10">
      <c r="B26" s="13"/>
      <c r="C26" s="13"/>
      <c r="D26" s="13"/>
      <c r="E26" s="13"/>
      <c r="F26" s="13"/>
      <c r="G26" s="13"/>
      <c r="H26" s="13"/>
      <c r="I26" s="13"/>
      <c r="J26" s="13"/>
    </row>
    <row r="27" spans="2:10">
      <c r="B27" s="13"/>
      <c r="C27" s="13"/>
      <c r="D27" s="13"/>
      <c r="E27" s="13"/>
      <c r="F27" s="13"/>
      <c r="G27" s="13"/>
      <c r="H27" s="13"/>
      <c r="I27" s="13"/>
      <c r="J27" s="13"/>
    </row>
    <row r="28" spans="2:10">
      <c r="B28" s="13"/>
      <c r="C28" s="13"/>
      <c r="D28" s="13"/>
      <c r="E28" s="13"/>
      <c r="F28" s="13"/>
      <c r="G28" s="13"/>
      <c r="H28" s="13"/>
      <c r="I28" s="13"/>
      <c r="J28" s="13"/>
    </row>
    <row r="29" spans="2:10">
      <c r="B29" s="13"/>
      <c r="C29" s="13"/>
      <c r="D29" s="13"/>
      <c r="E29" s="13"/>
      <c r="F29" s="13"/>
      <c r="G29" s="13"/>
      <c r="H29" s="13"/>
      <c r="I29" s="13"/>
      <c r="J29" s="13"/>
    </row>
  </sheetData>
  <mergeCells count="3">
    <mergeCell ref="A1:B1"/>
    <mergeCell ref="C1:E1"/>
    <mergeCell ref="F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producto</vt:lpstr>
      <vt:lpstr>pedido</vt:lpstr>
      <vt:lpstr>barrio</vt:lpstr>
      <vt:lpstr>municipio</vt:lpstr>
      <vt:lpstr>departamento</vt:lpstr>
      <vt:lpstr>pais</vt:lpstr>
      <vt:lpstr>continente</vt:lpstr>
      <vt:lpstr>estado del pedido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99A_10104118902</dc:creator>
  <cp:lastModifiedBy>admin</cp:lastModifiedBy>
  <dcterms:created xsi:type="dcterms:W3CDTF">2026-02-24T02:20:04Z</dcterms:created>
  <dcterms:modified xsi:type="dcterms:W3CDTF">2026-03-02T21:15:34Z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2026-02-24T04:04:28Z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d9cc7994-4524-48b2-9bc4-3ec5d5ba6a27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